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rN\UNSA\TRABAJO\GEMA\Mapeo\GEMA-Mapeo\Sistema\backend\templates\"/>
    </mc:Choice>
  </mc:AlternateContent>
  <xr:revisionPtr revIDLastSave="0" documentId="13_ncr:1_{FFCE203B-B22F-4156-BDF4-5A0047ED25E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ventana" sheetId="1" r:id="rId1"/>
    <sheet name="BD" sheetId="2" r:id="rId2"/>
    <sheet name="RMR" sheetId="3" r:id="rId3"/>
    <sheet name="Leyenda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__________R">#REF!</definedName>
    <definedName name="____________R">#REF!</definedName>
    <definedName name="___________R">#REF!</definedName>
    <definedName name="__________R">#REF!</definedName>
    <definedName name="_________R">#REF!</definedName>
    <definedName name="________R">#REF!</definedName>
    <definedName name="_______R">#REF!</definedName>
    <definedName name="______R">#REF!</definedName>
    <definedName name="_____R">#REF!</definedName>
    <definedName name="____R">#REF!</definedName>
    <definedName name="___R">#REF!</definedName>
    <definedName name="__R">#REF!</definedName>
    <definedName name="_R">#REF!</definedName>
    <definedName name="a">#REF!</definedName>
    <definedName name="_xlnm.Print_Area" localSheetId="0">ventana!$A$2:$BT$31</definedName>
    <definedName name="Bedrock">#REF!</definedName>
    <definedName name="CHECK">#REF!</definedName>
    <definedName name="Cohesive">#REF!</definedName>
    <definedName name="Colour">[1]XCodes!$L$2:$L$11</definedName>
    <definedName name="coords">'[2]Field Drill Site Check'!$E$2:$G$31</definedName>
    <definedName name="CSCD">'[3]DATOS LG'!$B$4:$B$11</definedName>
    <definedName name="Cw">#REF!</definedName>
    <definedName name="D">#REF!</definedName>
    <definedName name="Density_Cohesive">'[4]Hole ID'!$I$47:$I$52</definedName>
    <definedName name="Density_Granular">'[4]Hole ID'!$H$47:$H$51</definedName>
    <definedName name="DFGDF">#REF!</definedName>
    <definedName name="Dilatancy">'[4]Hole ID'!$P$47:$P$49</definedName>
    <definedName name="EF">'[5]DATOS LG'!$E$4:$E$10</definedName>
    <definedName name="FE">#REF!</definedName>
    <definedName name="FTRT">#REF!</definedName>
    <definedName name="Geologist_Name">[6]XCodes!$O$2:$O$58</definedName>
    <definedName name="GGGG">#REF!</definedName>
    <definedName name="Grain_Size">[1]XCodes!$R$2:$R$4</definedName>
    <definedName name="Granular">#REF!</definedName>
    <definedName name="henry">#REF!</definedName>
    <definedName name="INTEMPERISMO">'[7]DATOS LG'!$E$4:$E$10</definedName>
    <definedName name="L">#REF!</definedName>
    <definedName name="Lithology">[1]XCodes!$C$2:$C$29</definedName>
    <definedName name="Lithologys">[1]XCodes!$A$2:$A$28</definedName>
    <definedName name="LITO_RMR">#REF!</definedName>
    <definedName name="LITOLOGIA">'[7]DATOS LG'!$I$4:$I$33</definedName>
    <definedName name="Litology_Lookup">[8]Litología_Lookup!#REF!</definedName>
    <definedName name="LMT_M">'[7]LG EST.'!#REF!</definedName>
    <definedName name="longitude">#REF!</definedName>
    <definedName name="Magnetite_Style">[1]XCodes!$U$2:$U$5</definedName>
    <definedName name="n">#REF!</definedName>
    <definedName name="Non_Plastic">'[4]Hole ID'!$O$46</definedName>
    <definedName name="Plasticity">'[4]Hole ID'!$N$47:$N$50</definedName>
    <definedName name="q">#REF!</definedName>
    <definedName name="RESISTENCIA">'[7]DATOS LG'!$B$4:$B$11</definedName>
    <definedName name="S">#REF!</definedName>
    <definedName name="Structure">[1]XCodes!$AV$2:$AV$10</definedName>
    <definedName name="SW">'[9]DATOS LG'!$B$4:$B$11</definedName>
    <definedName name="Texture">[1]XCodes!$AY$2:$AY$9</definedName>
    <definedName name="th">'[2]Field Drill Site Check'!$G$2:$H$31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61" i="4" l="1"/>
  <c r="T60" i="4"/>
  <c r="T59" i="4"/>
  <c r="T58" i="4"/>
  <c r="T57" i="4"/>
  <c r="T56" i="4"/>
  <c r="T55" i="4"/>
  <c r="T54" i="4"/>
  <c r="T53" i="4"/>
  <c r="T52" i="4"/>
  <c r="T51" i="4"/>
  <c r="T50" i="4"/>
  <c r="T49" i="4"/>
  <c r="T48" i="4"/>
  <c r="T47" i="4"/>
  <c r="T46" i="4"/>
  <c r="T45" i="4"/>
  <c r="T44" i="4"/>
  <c r="T43" i="4"/>
  <c r="T42" i="4"/>
  <c r="T41" i="4"/>
  <c r="T40" i="4"/>
  <c r="T39" i="4"/>
  <c r="T38" i="4"/>
  <c r="T37" i="4"/>
  <c r="T36" i="4"/>
  <c r="T35" i="4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T6" i="4"/>
  <c r="T5" i="4"/>
  <c r="T4" i="4"/>
  <c r="T3" i="4"/>
  <c r="N31" i="1"/>
  <c r="AT12" i="1" s="1"/>
  <c r="AS12" i="1" s="1"/>
  <c r="J31" i="1"/>
  <c r="J30" i="1"/>
  <c r="J29" i="1"/>
  <c r="AV11" i="1" s="1"/>
  <c r="AV12" i="1" s="1"/>
  <c r="BZ28" i="1"/>
  <c r="CA28" i="1" s="1"/>
  <c r="BY28" i="1"/>
  <c r="Q28" i="1" s="1"/>
  <c r="BX28" i="1"/>
  <c r="BW28" i="1"/>
  <c r="CA27" i="1"/>
  <c r="BZ27" i="1"/>
  <c r="BY27" i="1"/>
  <c r="Q27" i="1" s="1"/>
  <c r="BX27" i="1"/>
  <c r="BW27" i="1"/>
  <c r="R27" i="1"/>
  <c r="P27" i="1"/>
  <c r="BZ26" i="1"/>
  <c r="CA26" i="1" s="1"/>
  <c r="BY26" i="1"/>
  <c r="Q26" i="1" s="1"/>
  <c r="BX26" i="1"/>
  <c r="BW26" i="1"/>
  <c r="O26" i="1"/>
  <c r="BZ25" i="1"/>
  <c r="CA25" i="1" s="1"/>
  <c r="BX25" i="1"/>
  <c r="BY25" i="1" s="1"/>
  <c r="BW25" i="1"/>
  <c r="BZ24" i="1"/>
  <c r="CA24" i="1" s="1"/>
  <c r="BY24" i="1"/>
  <c r="O24" i="1" s="1"/>
  <c r="BX24" i="1"/>
  <c r="BW24" i="1"/>
  <c r="CA23" i="1"/>
  <c r="BZ23" i="1"/>
  <c r="BY23" i="1"/>
  <c r="Q23" i="1" s="1"/>
  <c r="BX23" i="1"/>
  <c r="BW23" i="1"/>
  <c r="R23" i="1"/>
  <c r="P23" i="1"/>
  <c r="BZ22" i="1"/>
  <c r="CA22" i="1" s="1"/>
  <c r="BY22" i="1"/>
  <c r="Q22" i="1" s="1"/>
  <c r="BX22" i="1"/>
  <c r="BW22" i="1"/>
  <c r="O22" i="1"/>
  <c r="BZ21" i="1"/>
  <c r="CA21" i="1" s="1"/>
  <c r="BX21" i="1"/>
  <c r="BY21" i="1" s="1"/>
  <c r="BW21" i="1"/>
  <c r="BZ20" i="1"/>
  <c r="CA20" i="1" s="1"/>
  <c r="BY20" i="1"/>
  <c r="Q20" i="1" s="1"/>
  <c r="BX20" i="1"/>
  <c r="BW20" i="1"/>
  <c r="CA19" i="1"/>
  <c r="BZ19" i="1"/>
  <c r="BY19" i="1"/>
  <c r="Q19" i="1" s="1"/>
  <c r="BX19" i="1"/>
  <c r="BW19" i="1"/>
  <c r="R19" i="1"/>
  <c r="P19" i="1"/>
  <c r="BZ18" i="1"/>
  <c r="CA18" i="1" s="1"/>
  <c r="BY18" i="1"/>
  <c r="Q18" i="1" s="1"/>
  <c r="BX18" i="1"/>
  <c r="BW18" i="1"/>
  <c r="O18" i="1"/>
  <c r="BZ17" i="1"/>
  <c r="CA17" i="1" s="1"/>
  <c r="BX17" i="1"/>
  <c r="BY17" i="1" s="1"/>
  <c r="BW17" i="1"/>
  <c r="BZ16" i="1"/>
  <c r="CA16" i="1" s="1"/>
  <c r="BY16" i="1"/>
  <c r="Q16" i="1" s="1"/>
  <c r="BX16" i="1"/>
  <c r="BW16" i="1"/>
  <c r="CA15" i="1"/>
  <c r="R15" i="1" s="1"/>
  <c r="BZ15" i="1"/>
  <c r="BY15" i="1"/>
  <c r="O15" i="1" s="1"/>
  <c r="X15" i="1" s="1"/>
  <c r="AB15" i="1" s="1"/>
  <c r="AY11" i="1" s="1"/>
  <c r="AZ11" i="1" s="1"/>
  <c r="BX15" i="1"/>
  <c r="BW15" i="1"/>
  <c r="AI15" i="1"/>
  <c r="AG15" i="1"/>
  <c r="AF15" i="1"/>
  <c r="AE15" i="1"/>
  <c r="AC15" i="1"/>
  <c r="AA15" i="1"/>
  <c r="Z15" i="1"/>
  <c r="Y15" i="1"/>
  <c r="W15" i="1"/>
  <c r="Q15" i="1"/>
  <c r="AD15" i="1" s="1"/>
  <c r="AM12" i="1"/>
  <c r="AK12" i="1"/>
  <c r="AW11" i="1"/>
  <c r="AW12" i="1" s="1"/>
  <c r="AX12" i="1" s="1"/>
  <c r="AT11" i="1"/>
  <c r="AS11" i="1"/>
  <c r="AM11" i="1"/>
  <c r="AK11" i="1"/>
  <c r="N8" i="1"/>
  <c r="N6" i="1" s="1"/>
  <c r="N7" i="1"/>
  <c r="K7" i="1"/>
  <c r="J7" i="1"/>
  <c r="K5" i="1"/>
  <c r="AY3" i="1"/>
  <c r="R24" i="1" l="1"/>
  <c r="P24" i="1"/>
  <c r="Q25" i="1"/>
  <c r="O25" i="1"/>
  <c r="P25" i="1"/>
  <c r="R25" i="1"/>
  <c r="R20" i="1"/>
  <c r="P20" i="1"/>
  <c r="Q17" i="1"/>
  <c r="O17" i="1"/>
  <c r="R22" i="1"/>
  <c r="P22" i="1"/>
  <c r="R18" i="1"/>
  <c r="P18" i="1"/>
  <c r="Q21" i="1"/>
  <c r="O21" i="1"/>
  <c r="R28" i="1"/>
  <c r="P28" i="1"/>
  <c r="P21" i="1"/>
  <c r="R21" i="1"/>
  <c r="P17" i="1"/>
  <c r="R17" i="1"/>
  <c r="AH15" i="1"/>
  <c r="AY12" i="1" s="1"/>
  <c r="AZ12" i="1" s="1"/>
  <c r="R26" i="1"/>
  <c r="P26" i="1"/>
  <c r="R16" i="1"/>
  <c r="P16" i="1"/>
  <c r="O20" i="1"/>
  <c r="O28" i="1"/>
  <c r="Q24" i="1"/>
  <c r="O16" i="1"/>
  <c r="AX11" i="1"/>
  <c r="P15" i="1"/>
  <c r="O19" i="1"/>
  <c r="O23" i="1"/>
  <c r="O27" i="1"/>
  <c r="AU11" i="1"/>
  <c r="AU1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U10" authorId="0" shapeId="0" xr:uid="{00000000-0006-0000-0000-000001000000}">
      <text>
        <r>
          <rPr>
            <sz val="10"/>
            <rFont val="Arial"/>
          </rPr>
          <t xml:space="preserve">es la forma que tiene 
con respecto a toda su longitud, observado en 15m. del banco
</t>
        </r>
      </text>
    </comment>
  </commentList>
</comments>
</file>

<file path=xl/sharedStrings.xml><?xml version="1.0" encoding="utf-8"?>
<sst xmlns="http://schemas.openxmlformats.org/spreadsheetml/2006/main" count="839" uniqueCount="476">
  <si>
    <t>TD1</t>
  </si>
  <si>
    <t>UBICACIÓN</t>
  </si>
  <si>
    <t>Cota</t>
  </si>
  <si>
    <t>LONGITUD</t>
  </si>
  <si>
    <t>ORIENTACION</t>
  </si>
  <si>
    <t>LITO-3</t>
  </si>
  <si>
    <t>SECTOR</t>
  </si>
  <si>
    <t>Fecha:</t>
  </si>
  <si>
    <t>INI</t>
  </si>
  <si>
    <t>LARGO</t>
  </si>
  <si>
    <t>Dip_talud</t>
  </si>
  <si>
    <t>ALT</t>
  </si>
  <si>
    <t>FASE</t>
  </si>
  <si>
    <t>JT-JV</t>
  </si>
  <si>
    <t>Condicion de Agua</t>
  </si>
  <si>
    <t>Condicion de aglorua Valor</t>
  </si>
  <si>
    <t>Resistencia Estimada</t>
  </si>
  <si>
    <t>Resistencia Estimada(Valor)</t>
  </si>
  <si>
    <t>Condición de la SUP(GSI)</t>
  </si>
  <si>
    <t>Estructura(GSI)</t>
  </si>
  <si>
    <t>GSI (Visual)</t>
  </si>
  <si>
    <t>Control Estructural</t>
  </si>
  <si>
    <t>Efectos de la Voladura</t>
  </si>
  <si>
    <t>RQD (valor)</t>
  </si>
  <si>
    <t>RQD (%)</t>
  </si>
  <si>
    <t>Frecuencia de Fracturamiento x m</t>
  </si>
  <si>
    <t>Tamaño de Bloque m3</t>
  </si>
  <si>
    <t>Espaciamiento prom</t>
  </si>
  <si>
    <t>Espaciamiento Valor</t>
  </si>
  <si>
    <t>Valor ConDisc</t>
  </si>
  <si>
    <t>RMR</t>
  </si>
  <si>
    <t>( UCS )  (Mpa)</t>
  </si>
  <si>
    <t>is50 (Mpa)</t>
  </si>
  <si>
    <t>FIN</t>
  </si>
  <si>
    <t>ALTURA</t>
  </si>
  <si>
    <t>DipDir_Talud</t>
  </si>
  <si>
    <t>INT</t>
  </si>
  <si>
    <t>NIVEL</t>
  </si>
  <si>
    <t>Dip_hole</t>
  </si>
  <si>
    <t>Lito-Model</t>
  </si>
  <si>
    <t>Sect. GEOT.</t>
  </si>
  <si>
    <t>Az_hole</t>
  </si>
  <si>
    <t>Mapeador:</t>
  </si>
  <si>
    <t>Condicion de las Discontinuidades        (JC 1976)</t>
  </si>
  <si>
    <t>Condicion de las Discontinuidades        (JC 1989)</t>
  </si>
  <si>
    <t>ID</t>
  </si>
  <si>
    <t>Distancia (m)</t>
  </si>
  <si>
    <t>Tipo de Estructura</t>
  </si>
  <si>
    <t>Dip</t>
  </si>
  <si>
    <t>Dip Dir</t>
  </si>
  <si>
    <t>N de Estructuras</t>
  </si>
  <si>
    <t>Abertura(mm)</t>
  </si>
  <si>
    <t>Espesor (mm)</t>
  </si>
  <si>
    <t>Continuidad (m)</t>
  </si>
  <si>
    <t>Espaciamiento (m)</t>
  </si>
  <si>
    <t>N de Extremos Visibles</t>
  </si>
  <si>
    <t>TERMINACION</t>
  </si>
  <si>
    <t>Tipo de Relleno 1</t>
  </si>
  <si>
    <t>Tipo de Relleno 2</t>
  </si>
  <si>
    <t>Valor de relleno 1</t>
  </si>
  <si>
    <t>Valor de relleno 2</t>
  </si>
  <si>
    <t>JRC</t>
  </si>
  <si>
    <t>Rugosidad de Estructura</t>
  </si>
  <si>
    <t>Forma de Estructura</t>
  </si>
  <si>
    <t>Alteracion</t>
  </si>
  <si>
    <t>Valor de Alteracion</t>
  </si>
  <si>
    <t>Valor de relleno</t>
  </si>
  <si>
    <t>Continuidad</t>
  </si>
  <si>
    <t>Abertura</t>
  </si>
  <si>
    <t>Rugosidad</t>
  </si>
  <si>
    <t>Valor</t>
  </si>
  <si>
    <t/>
  </si>
  <si>
    <t>Codigo(espesor)</t>
  </si>
  <si>
    <t>Codigo(relleno 1)</t>
  </si>
  <si>
    <t>Codigo(relleno 2)</t>
  </si>
  <si>
    <t>Comentarios:</t>
  </si>
  <si>
    <t>PROM 1</t>
  </si>
  <si>
    <t>PROM 2</t>
  </si>
  <si>
    <t>PROM 3</t>
  </si>
  <si>
    <t>JV:</t>
  </si>
  <si>
    <t>id</t>
  </si>
  <si>
    <t>CELDA</t>
  </si>
  <si>
    <t>ESTE_FROM</t>
  </si>
  <si>
    <t>NORTE_FROM</t>
  </si>
  <si>
    <t>COTA</t>
  </si>
  <si>
    <t>ESTE_TO</t>
  </si>
  <si>
    <t>NORTE_TO</t>
  </si>
  <si>
    <t>Dist.Celda</t>
  </si>
  <si>
    <t>Altura</t>
  </si>
  <si>
    <t>DIP</t>
  </si>
  <si>
    <t>AZ_HOLE</t>
  </si>
  <si>
    <t>DIP_TALUD</t>
  </si>
  <si>
    <t>DIP DIR_TALUD</t>
  </si>
  <si>
    <t>INTEMPERISMO</t>
  </si>
  <si>
    <t>CONDICION DE AGUA  '76.</t>
  </si>
  <si>
    <t>CONDICION DE AGUA VALOR  '76</t>
  </si>
  <si>
    <t>DUREZA  '76</t>
  </si>
  <si>
    <t>RESISTENCIA ESTIMADA VALOR  '76</t>
  </si>
  <si>
    <t>GSI VISUAL  '76</t>
  </si>
  <si>
    <t>CONTROL ESTRUCTURAL  '76</t>
  </si>
  <si>
    <t>EFECTOS DE VOLADURA  '76</t>
  </si>
  <si>
    <t>RQD - VALOR  '76</t>
  </si>
  <si>
    <t>RQD  '76</t>
  </si>
  <si>
    <t>FRECUENCIA DE FRACTURAMIENTO x m.  '76</t>
  </si>
  <si>
    <t>TAMAÑO DE BLOQUES  x m3  '76</t>
  </si>
  <si>
    <t>ESPACIAMIENTO PROMEDIO   '76</t>
  </si>
  <si>
    <t>ESPACIAMIENTO - VALOR    '76</t>
  </si>
  <si>
    <t>CONDICIÓN DE DISCONTINUIDAD - VALOR     '76</t>
  </si>
  <si>
    <t>RMR '76</t>
  </si>
  <si>
    <t>CONDICION DE AGUA  '89</t>
  </si>
  <si>
    <t>CONDICION DE AGUA VALOR '89</t>
  </si>
  <si>
    <t>DUREZA '89</t>
  </si>
  <si>
    <t>RESISTENCIA ESTIMADA VALOR '89</t>
  </si>
  <si>
    <t>GSI VISUAL '89</t>
  </si>
  <si>
    <t>CONTROL ESTRUCTURAL '89</t>
  </si>
  <si>
    <t>EFECTOS DE VOLADURA '89</t>
  </si>
  <si>
    <t>RQD - VALOR '89</t>
  </si>
  <si>
    <t>RQD '89</t>
  </si>
  <si>
    <t>FRECUENCIA DE FRACTURAMIENTO x m. '89</t>
  </si>
  <si>
    <t>TAMAÑO DE BLOQUES  x m3 '89</t>
  </si>
  <si>
    <t>ESPACIAMIENTO PROMEDIO '89</t>
  </si>
  <si>
    <t>ESPACIAMIENTO - VALOR '89</t>
  </si>
  <si>
    <t>CONDICIÓN DE DISCONTINUIDAD - VALOR '89</t>
  </si>
  <si>
    <t>RMR '89</t>
  </si>
  <si>
    <t>FECHA</t>
  </si>
  <si>
    <t>COMENTARIO</t>
  </si>
  <si>
    <t>Dist. de estr.</t>
  </si>
  <si>
    <t>teta</t>
  </si>
  <si>
    <t>alfa</t>
  </si>
  <si>
    <t>x</t>
  </si>
  <si>
    <t>y</t>
  </si>
  <si>
    <t>z</t>
  </si>
  <si>
    <t>TIPO DE ESTRUCTURA</t>
  </si>
  <si>
    <t>DIP DIR</t>
  </si>
  <si>
    <t>NUMERO DE ESTRUCTURAS</t>
  </si>
  <si>
    <t>ABERTURA mm.</t>
  </si>
  <si>
    <t>ESPESOR mm.</t>
  </si>
  <si>
    <t>CONTINUIDAD m.</t>
  </si>
  <si>
    <t>ESPACIAMIENTO m.</t>
  </si>
  <si>
    <t>NUMERO DE EXTREMOS VISIBLES</t>
  </si>
  <si>
    <t>TIPO DE  RELLENO 1</t>
  </si>
  <si>
    <t>TIPO DE  RELLENO 2</t>
  </si>
  <si>
    <t>RUGOSIDAD DE ESTRUCTURAS</t>
  </si>
  <si>
    <t>FORMA DE ESTRUCTURA</t>
  </si>
  <si>
    <t>ALTERACION</t>
  </si>
  <si>
    <t>GEOTECNICO</t>
  </si>
  <si>
    <t>Is50_Mpa</t>
  </si>
  <si>
    <t>LITO3_MODELO</t>
  </si>
  <si>
    <t>Sector</t>
  </si>
  <si>
    <t>Nivel</t>
  </si>
  <si>
    <t>Valoraciones para el cálculo del RMR76 y RMR89</t>
  </si>
  <si>
    <t>Resistencia</t>
  </si>
  <si>
    <t>MPa</t>
  </si>
  <si>
    <t>rating 89*</t>
  </si>
  <si>
    <t>rating 76</t>
  </si>
  <si>
    <t>Resistencia ISRM</t>
  </si>
  <si>
    <t>R6</t>
  </si>
  <si>
    <t>&gt; 250</t>
  </si>
  <si>
    <t>UCS min (MPa)</t>
  </si>
  <si>
    <t>Abreviatura</t>
  </si>
  <si>
    <t>Denominación ISRM</t>
  </si>
  <si>
    <t>R5</t>
  </si>
  <si>
    <t>100 - 250</t>
  </si>
  <si>
    <t>R0</t>
  </si>
  <si>
    <t>Extremadamente débil</t>
  </si>
  <si>
    <t>R4</t>
  </si>
  <si>
    <t>50 - 100</t>
  </si>
  <si>
    <t>R1</t>
  </si>
  <si>
    <t>Muy débil</t>
  </si>
  <si>
    <t>R3</t>
  </si>
  <si>
    <t>25 - 50</t>
  </si>
  <si>
    <t>R2</t>
  </si>
  <si>
    <t>Débil</t>
  </si>
  <si>
    <t>5 - 25</t>
  </si>
  <si>
    <t>Moderadamente resistente</t>
  </si>
  <si>
    <t>1 - 5</t>
  </si>
  <si>
    <t>Resistente</t>
  </si>
  <si>
    <t>&lt; 1</t>
  </si>
  <si>
    <t>Muy resistente</t>
  </si>
  <si>
    <t>*SRK utilizará las curvas exponenciales de Bieniawaski(1989)</t>
  </si>
  <si>
    <t>Extremadamente resistente</t>
  </si>
  <si>
    <t>rating 89</t>
  </si>
  <si>
    <t>&lt;25</t>
  </si>
  <si>
    <t>25-50</t>
  </si>
  <si>
    <t>50-75</t>
  </si>
  <si>
    <t>75-90</t>
  </si>
  <si>
    <t>90-100</t>
  </si>
  <si>
    <t>ESPACIAMIENTO (m)</t>
  </si>
  <si>
    <t>&lt;0.06</t>
  </si>
  <si>
    <t>&lt;0.05</t>
  </si>
  <si>
    <t>0.06-0.2</t>
  </si>
  <si>
    <t>0.05-0.3</t>
  </si>
  <si>
    <t>0.2-0.6</t>
  </si>
  <si>
    <t>0.3-1</t>
  </si>
  <si>
    <t>0.6-2</t>
  </si>
  <si>
    <t>1-3</t>
  </si>
  <si>
    <t>&gt;2</t>
  </si>
  <si>
    <t>&gt;3</t>
  </si>
  <si>
    <t>&lt;1 m</t>
  </si>
  <si>
    <t>1-3 m</t>
  </si>
  <si>
    <t>3-10 m</t>
  </si>
  <si>
    <t>10-20 m</t>
  </si>
  <si>
    <t>&gt;20 m</t>
  </si>
  <si>
    <t>Meteorización</t>
  </si>
  <si>
    <t>f</t>
  </si>
  <si>
    <t>d</t>
  </si>
  <si>
    <t>m</t>
  </si>
  <si>
    <t>a</t>
  </si>
  <si>
    <t>c</t>
  </si>
  <si>
    <t>s</t>
  </si>
  <si>
    <t>*SRK modificó la valoracion</t>
  </si>
  <si>
    <t>Abertura (mm)</t>
  </si>
  <si>
    <t>Masiva</t>
  </si>
  <si>
    <t>Entre Abierta</t>
  </si>
  <si>
    <t>&lt;0.1</t>
  </si>
  <si>
    <t>Abierta</t>
  </si>
  <si>
    <t>0.1-1</t>
  </si>
  <si>
    <t>Muy Abierta</t>
  </si>
  <si>
    <t>Extremadamente Abierta</t>
  </si>
  <si>
    <t>&gt;5</t>
  </si>
  <si>
    <t>Rugosidad (ISRM)</t>
  </si>
  <si>
    <t>Relleno</t>
  </si>
  <si>
    <t>Codigo</t>
  </si>
  <si>
    <t>Sin relleno</t>
  </si>
  <si>
    <t>Relleno Duro &lt; 5 mm</t>
  </si>
  <si>
    <t>Relleno Duro &gt; 5 mm</t>
  </si>
  <si>
    <t>Relleno blando &lt; 5 mm</t>
  </si>
  <si>
    <t>Relleno blando &gt; 5 mm</t>
  </si>
  <si>
    <t>cwf</t>
  </si>
  <si>
    <t>si</t>
  </si>
  <si>
    <t>&lt;5</t>
  </si>
  <si>
    <t>sf</t>
  </si>
  <si>
    <t>ep</t>
  </si>
  <si>
    <t>ox</t>
  </si>
  <si>
    <t>g</t>
  </si>
  <si>
    <t>Duro &lt;5 mm</t>
  </si>
  <si>
    <t>cl</t>
  </si>
  <si>
    <t>Duro &gt;5 mm</t>
  </si>
  <si>
    <t>ca</t>
  </si>
  <si>
    <t>Blando &lt;5 mm</t>
  </si>
  <si>
    <t>Blando &gt;5 mm</t>
  </si>
  <si>
    <t>cwf(Sin relleno)</t>
  </si>
  <si>
    <t>AGUA</t>
  </si>
  <si>
    <t>completamente seco</t>
  </si>
  <si>
    <t>C</t>
  </si>
  <si>
    <t>humedo</t>
  </si>
  <si>
    <t>H</t>
  </si>
  <si>
    <t>mojado</t>
  </si>
  <si>
    <t>M</t>
  </si>
  <si>
    <t>goteando</t>
  </si>
  <si>
    <t>E</t>
  </si>
  <si>
    <t>fluyendo</t>
  </si>
  <si>
    <t>F</t>
  </si>
  <si>
    <t>Tipo de ensayo</t>
  </si>
  <si>
    <t>Diámetro de perforación</t>
  </si>
  <si>
    <t>Factor de corrección para ensayos de carga puntual ( 2020)</t>
  </si>
  <si>
    <t>Factor de correlación para ensayos de carga puntual (, 2023)</t>
  </si>
  <si>
    <t>Tipo de ensayo PLT</t>
  </si>
  <si>
    <t>Nominación</t>
  </si>
  <si>
    <t>Diámetro nominal (mm)</t>
  </si>
  <si>
    <t>Unidades geotécnicas</t>
  </si>
  <si>
    <t>Litología</t>
  </si>
  <si>
    <t>Factor de correlación (K)</t>
  </si>
  <si>
    <t>Litología 1</t>
  </si>
  <si>
    <t>Litología 2</t>
  </si>
  <si>
    <t>Litología 3</t>
  </si>
  <si>
    <t>Factor K</t>
  </si>
  <si>
    <t>Lito 2</t>
  </si>
  <si>
    <t>Lito 3</t>
  </si>
  <si>
    <t>Validacion Lito</t>
  </si>
  <si>
    <t>K</t>
  </si>
  <si>
    <t>D</t>
  </si>
  <si>
    <t>Diametral</t>
  </si>
  <si>
    <t>BQ</t>
  </si>
  <si>
    <t>CARBONATOS</t>
  </si>
  <si>
    <t>LMT</t>
  </si>
  <si>
    <t>INTRUSIVOS</t>
  </si>
  <si>
    <t>MZB</t>
  </si>
  <si>
    <t>MZB_EQ</t>
  </si>
  <si>
    <t>A</t>
  </si>
  <si>
    <t>Axial</t>
  </si>
  <si>
    <t>NQ</t>
  </si>
  <si>
    <t>MBC</t>
  </si>
  <si>
    <t>MZB_P</t>
  </si>
  <si>
    <t>B</t>
  </si>
  <si>
    <t>Bloques</t>
  </si>
  <si>
    <t>HQ</t>
  </si>
  <si>
    <t>MBL</t>
  </si>
  <si>
    <t>MBF1</t>
  </si>
  <si>
    <t>MBF</t>
  </si>
  <si>
    <t>I</t>
  </si>
  <si>
    <t>Irregular</t>
  </si>
  <si>
    <t>PQ</t>
  </si>
  <si>
    <t>MZM</t>
  </si>
  <si>
    <t>MBF2</t>
  </si>
  <si>
    <t>MBF_P</t>
  </si>
  <si>
    <t>MZM_F</t>
  </si>
  <si>
    <t>MZM_M</t>
  </si>
  <si>
    <t>MZH</t>
  </si>
  <si>
    <t>MZH_1</t>
  </si>
  <si>
    <t>MZQ</t>
  </si>
  <si>
    <t>MZH_2</t>
  </si>
  <si>
    <t>MZD</t>
  </si>
  <si>
    <t>SKARN</t>
  </si>
  <si>
    <t>GSK</t>
  </si>
  <si>
    <t>PSK</t>
  </si>
  <si>
    <t>AN</t>
  </si>
  <si>
    <t>LAM</t>
  </si>
  <si>
    <t>NR</t>
  </si>
  <si>
    <t>ESK</t>
  </si>
  <si>
    <t>SEDIMENTARIOS</t>
  </si>
  <si>
    <t>LMT_M</t>
  </si>
  <si>
    <t xml:space="preserve">MSK </t>
  </si>
  <si>
    <t>LMT_Mg</t>
  </si>
  <si>
    <t>TODOS</t>
  </si>
  <si>
    <t>EGT</t>
  </si>
  <si>
    <t>LMT_S</t>
  </si>
  <si>
    <t>EPG</t>
  </si>
  <si>
    <t>LMT_C</t>
  </si>
  <si>
    <t>ENDOSKARN</t>
  </si>
  <si>
    <t>OTRO</t>
  </si>
  <si>
    <t>LMT_U</t>
  </si>
  <si>
    <t>Dirección de rotura</t>
  </si>
  <si>
    <t>SHL</t>
  </si>
  <si>
    <t>HFL</t>
  </si>
  <si>
    <t>SHL_MA</t>
  </si>
  <si>
    <t>-</t>
  </si>
  <si>
    <t>Pa</t>
  </si>
  <si>
    <t>Paralela a los planos de debilidad (estratificación, foliación)</t>
  </si>
  <si>
    <t>METAMORFICAS</t>
  </si>
  <si>
    <t xml:space="preserve">Varios   </t>
  </si>
  <si>
    <t>Pe</t>
  </si>
  <si>
    <t>Perpendicular a los planos de debilidad (estratificación, foliación)</t>
  </si>
  <si>
    <t>Varios</t>
  </si>
  <si>
    <t>NA</t>
  </si>
  <si>
    <t>No aplica (rocas masivas sin planos de debilidad)</t>
  </si>
  <si>
    <t>MSK</t>
  </si>
  <si>
    <t xml:space="preserve">Varios </t>
  </si>
  <si>
    <t>Tipo de fractura</t>
  </si>
  <si>
    <t>BRECHAS</t>
  </si>
  <si>
    <t>TBX</t>
  </si>
  <si>
    <t>Rotura por matriz. Si la muestra no se rompe se considera M.</t>
  </si>
  <si>
    <t>BX</t>
  </si>
  <si>
    <t>Rotura por estructura</t>
  </si>
  <si>
    <t>HBX</t>
  </si>
  <si>
    <t>Rotura combinada, por matriz y estructura</t>
  </si>
  <si>
    <t>SND</t>
  </si>
  <si>
    <t>QZT</t>
  </si>
  <si>
    <t>MBX</t>
  </si>
  <si>
    <t>SEDIMENTARIAS</t>
  </si>
  <si>
    <t>MBX / varios</t>
  </si>
  <si>
    <t>Intrusivo</t>
  </si>
  <si>
    <t>LMT_MG</t>
  </si>
  <si>
    <t>Nota:</t>
  </si>
  <si>
    <t>Si se registra NR como litología 1, 2 o 3 en los ensayos de carga puntual</t>
  </si>
  <si>
    <t>OVD</t>
  </si>
  <si>
    <t>indica que la información no fue registrada al momento de registrar la muestra.</t>
  </si>
  <si>
    <t>PASSWORD BD</t>
  </si>
  <si>
    <t>ppm</t>
  </si>
  <si>
    <t>Estructuras</t>
  </si>
  <si>
    <t>Tipo Estructura</t>
  </si>
  <si>
    <t>Simbologia</t>
  </si>
  <si>
    <t xml:space="preserve">Junta </t>
  </si>
  <si>
    <t>J</t>
  </si>
  <si>
    <t>Familia de Juntas</t>
  </si>
  <si>
    <t>JS</t>
  </si>
  <si>
    <t>Fallas</t>
  </si>
  <si>
    <t>Dique</t>
  </si>
  <si>
    <t>Dq</t>
  </si>
  <si>
    <t>contacto</t>
  </si>
  <si>
    <t>cizalla</t>
  </si>
  <si>
    <t>Extremos visibles de estructuras</t>
  </si>
  <si>
    <t>No se ven</t>
  </si>
  <si>
    <t>solo vemos uno</t>
  </si>
  <si>
    <t>se ve dos extremos visibles</t>
  </si>
  <si>
    <t>Forma de estructuras</t>
  </si>
  <si>
    <t>Planas</t>
  </si>
  <si>
    <t>P</t>
  </si>
  <si>
    <t>Onduladas</t>
  </si>
  <si>
    <t>O</t>
  </si>
  <si>
    <t>Curva</t>
  </si>
  <si>
    <t>Escalonada</t>
  </si>
  <si>
    <t>No hay efectos visibles.</t>
  </si>
  <si>
    <t>Ninguno</t>
  </si>
  <si>
    <t xml:space="preserve">Hay fracturamiento menor y sobrequiebre del area de la cresta por efecto de la voladura. Pocas fracturas nuevas y abiertas. </t>
  </si>
  <si>
    <t>Debil</t>
  </si>
  <si>
    <t xml:space="preserve">Varias fracturas irregulares en la cara de banco. Las juntas y fracturas estan abiertas &lt; 10 mm. </t>
  </si>
  <si>
    <t>Moderado</t>
  </si>
  <si>
    <t>Varias fracturas abiertas. Las juntas y fracturas estan abiertas hasta 20 mm. La cresta del banco está suelta y existe sobrequiebre por efectos de la voladura.</t>
  </si>
  <si>
    <t>Fuerte</t>
  </si>
  <si>
    <t>Muchas fracturas abiertas y fracturas concoidales por efecto de la voladura. La cresta esta fracturada intensamente. Diaclasa y fracturas abiertas &gt; 20mm.</t>
  </si>
  <si>
    <t>Muy Fuerte</t>
  </si>
  <si>
    <t>No hay discontinuidades aparentes, o no hay discontinuidades que influyan la estabilidad del banco</t>
  </si>
  <si>
    <t>Uno a tres conjuntos de estructuras que son discontinuas y/o tienen una orientacion favorable para la estabilidad. Caida de pequeños bloques.</t>
  </si>
  <si>
    <t>Las discontinuidades forman inestabilidades pequeñas y discontinuidades, del tipo cuña, planos escalonados que influyen en el sobrequiebre.</t>
  </si>
  <si>
    <t>Las discontinuidades estan bien desarrolladas y forman deslizamientos tipo cuña, planos escalonados que controlan el sobrequiebre. Banco mas empinado que los mecanismos.</t>
  </si>
  <si>
    <t>Las discontinuidades estan bien desarrolladas y forman deslizamientos planos o cuñas de igual altura del banco. La cara del banco se sobrequiebra al angulo aparente del mecanismo de control.</t>
  </si>
  <si>
    <t>TAB-06-NOP-GTN-01</t>
  </si>
  <si>
    <t>TABLA DE GRADO DE INTEMPERISMO ROCA</t>
  </si>
  <si>
    <t>Simbología</t>
  </si>
  <si>
    <t>Tipo de Relleno</t>
  </si>
  <si>
    <t>Grado de Intemperismo</t>
  </si>
  <si>
    <t>Calcita</t>
  </si>
  <si>
    <t>Fresca</t>
  </si>
  <si>
    <t>sa</t>
  </si>
  <si>
    <t>Arena</t>
  </si>
  <si>
    <t>Débilmente meteorizada</t>
  </si>
  <si>
    <t>Clorita Arcilla</t>
  </si>
  <si>
    <t>Moderadamente meteorizada</t>
  </si>
  <si>
    <t>ys</t>
  </si>
  <si>
    <t>Yeso</t>
  </si>
  <si>
    <t>Altamente meteorizada</t>
  </si>
  <si>
    <t>Roca triturada</t>
  </si>
  <si>
    <t>Completamente meteorizada</t>
  </si>
  <si>
    <t>Patinas de Ox</t>
  </si>
  <si>
    <t>Suelo residual</t>
  </si>
  <si>
    <t>Silicatos</t>
  </si>
  <si>
    <t>Sin Información</t>
  </si>
  <si>
    <t>q</t>
  </si>
  <si>
    <t>Cuarzo</t>
  </si>
  <si>
    <t>Sulfuros</t>
  </si>
  <si>
    <t>oc</t>
  </si>
  <si>
    <t>Oxido de Cu</t>
  </si>
  <si>
    <t>Epídota</t>
  </si>
  <si>
    <t>Sin información</t>
  </si>
  <si>
    <t>Grado</t>
  </si>
  <si>
    <t>Término</t>
  </si>
  <si>
    <t>Ejemplos</t>
  </si>
  <si>
    <t>Schmidt</t>
  </si>
  <si>
    <t>Is (Mpa)</t>
  </si>
  <si>
    <t>UCS (Mpa)</t>
  </si>
  <si>
    <t>Martillo</t>
  </si>
  <si>
    <t>Roca Extremadamente débil</t>
  </si>
  <si>
    <t>Panizo de las fallas</t>
  </si>
  <si>
    <t>*</t>
  </si>
  <si>
    <t>**</t>
  </si>
  <si>
    <t>0.25-1</t>
  </si>
  <si>
    <t>Mezcla de panizo y brecha</t>
  </si>
  <si>
    <t>Roca Muy débil</t>
  </si>
  <si>
    <t>Roca alterada e intemperizada</t>
  </si>
  <si>
    <t>1  -  5</t>
  </si>
  <si>
    <t>Se desmorona con un golpe</t>
  </si>
  <si>
    <t>Roca Débil</t>
  </si>
  <si>
    <t>Tiza, rocas salinas y potasio</t>
  </si>
  <si>
    <t>&lt; 20</t>
  </si>
  <si>
    <t>5  -  25</t>
  </si>
  <si>
    <t>se indenta superficialmente y se fractura en muchos pedazos</t>
  </si>
  <si>
    <t>Roca Medianamente fuerte</t>
  </si>
  <si>
    <t>Carbón, concreto, esquistos, arcillas, pizarras</t>
  </si>
  <si>
    <t>20 - 30</t>
  </si>
  <si>
    <t>1  -  2</t>
  </si>
  <si>
    <t>De 1 a 2 golpes y se fractura</t>
  </si>
  <si>
    <t>Roca Fuerte</t>
  </si>
  <si>
    <t>Caliza, mármol, arenisca, esquistos</t>
  </si>
  <si>
    <t>30 - 45</t>
  </si>
  <si>
    <t>2  -  4</t>
  </si>
  <si>
    <t>50 -100</t>
  </si>
  <si>
    <t>De 3 a 4 golpes y se fractura</t>
  </si>
  <si>
    <t>Roca Muy fuerte</t>
  </si>
  <si>
    <t>Anfibolita, arenisca, basalto, gabro, gneis, granodiorita, peridotitas, riolita, tufo</t>
  </si>
  <si>
    <t>45 - 60</t>
  </si>
  <si>
    <t>4  - 10</t>
  </si>
  <si>
    <t>100 -250</t>
  </si>
  <si>
    <t>Muchos golpes y se fractura</t>
  </si>
  <si>
    <t>Roca Extremadamente fuerte</t>
  </si>
  <si>
    <t>Basalto fresco, chert, diabasa, gneis, granito, cuarcita</t>
  </si>
  <si>
    <t>&gt; 60</t>
  </si>
  <si>
    <t>&gt;10</t>
  </si>
  <si>
    <t>&gt;250</t>
  </si>
  <si>
    <t>Solo se astilla</t>
  </si>
  <si>
    <t>PERFILES DE RUGOSIDAD Y VALORES DE JRC10</t>
  </si>
  <si>
    <t>PERFILES DE RUGOSIDAD TÍPICOS (ISRM, 1989)</t>
  </si>
  <si>
    <t>Hallar el RQD</t>
  </si>
  <si>
    <t>RQD</t>
  </si>
  <si>
    <t>JV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</si>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</sst>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0.0"/>
    <numFmt numFmtId="165" formatCode="000"/>
    <numFmt numFmtId="166" formatCode="0.000"/>
    <numFmt numFmtId="167" formatCode="0.000000"/>
    <numFmt numFmtId="168" formatCode="_-&quot;XDR&quot;* #,##0.00_-;\-&quot;XDR&quot;* #,##0.00_-;_-&quot;XDR&quot;* &quot;-&quot;??_-;_-@_-"/>
    <numFmt numFmtId="169" formatCode="yyyy/m/d;@"/>
  </numFmts>
  <fonts count="6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7"/>
      <color indexed="8"/>
      <name val="Arial"/>
      <family val="2"/>
    </font>
    <font>
      <b/>
      <sz val="9"/>
      <name val="Frutiger 45 Light"/>
    </font>
    <font>
      <b/>
      <u/>
      <sz val="8"/>
      <name val="Arial"/>
      <family val="2"/>
    </font>
    <font>
      <b/>
      <u/>
      <sz val="7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11"/>
      <name val="Calibri"/>
      <family val="2"/>
      <scheme val="minor"/>
    </font>
    <font>
      <sz val="7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7"/>
      <name val="Arial"/>
      <family val="2"/>
    </font>
    <font>
      <sz val="8"/>
      <name val="Arial"/>
      <family val="2"/>
    </font>
    <font>
      <sz val="6"/>
      <name val="Arial"/>
      <family val="2"/>
    </font>
    <font>
      <b/>
      <sz val="8"/>
      <color theme="0"/>
      <name val="Arial"/>
      <family val="2"/>
    </font>
    <font>
      <sz val="8"/>
      <color theme="6" tint="0.79998168889431442"/>
      <name val="Arial"/>
      <family val="2"/>
    </font>
    <font>
      <sz val="10"/>
      <color rgb="FFFF0000"/>
      <name val="Arial"/>
      <family val="2"/>
    </font>
    <font>
      <sz val="7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6"/>
      <color indexed="8"/>
      <name val="Arial"/>
      <family val="2"/>
    </font>
    <font>
      <sz val="7.5"/>
      <name val="Arial"/>
      <family val="2"/>
    </font>
    <font>
      <sz val="10"/>
      <color theme="0"/>
      <name val="Arial"/>
      <family val="2"/>
    </font>
    <font>
      <sz val="10"/>
      <color rgb="FF00B050"/>
      <name val="Arial"/>
      <family val="2"/>
    </font>
    <font>
      <sz val="10"/>
      <color rgb="FF0070C0"/>
      <name val="Arial"/>
      <family val="2"/>
    </font>
    <font>
      <sz val="10"/>
      <color theme="8"/>
      <name val="Arial"/>
      <family val="2"/>
    </font>
    <font>
      <sz val="10"/>
      <color rgb="FFFFFF00"/>
      <name val="Arial"/>
      <family val="2"/>
    </font>
    <font>
      <b/>
      <sz val="8"/>
      <color theme="1"/>
      <name val="Arial"/>
      <family val="2"/>
    </font>
    <font>
      <b/>
      <sz val="6"/>
      <name val="Arial"/>
      <family val="2"/>
    </font>
    <font>
      <sz val="8"/>
      <color theme="1"/>
      <name val="Arial"/>
      <family val="2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7"/>
      <color rgb="FFFFFFFF"/>
      <name val="Arial"/>
      <family val="2"/>
    </font>
    <font>
      <b/>
      <sz val="7.5"/>
      <color rgb="FFFF0000"/>
      <name val="Arial"/>
      <family val="2"/>
    </font>
    <font>
      <b/>
      <sz val="7"/>
      <color rgb="FFFF0000"/>
      <name val="Arial"/>
      <family val="2"/>
    </font>
    <font>
      <b/>
      <sz val="8"/>
      <color rgb="FFFF0000"/>
      <name val="Arial"/>
      <family val="2"/>
    </font>
    <font>
      <sz val="7"/>
      <color rgb="FFFF0000"/>
      <name val="Arial"/>
      <family val="2"/>
    </font>
    <font>
      <sz val="6"/>
      <color rgb="FFFF0000"/>
      <name val="Arial"/>
      <family val="2"/>
    </font>
    <font>
      <sz val="7.5"/>
      <color rgb="FFFF0000"/>
      <name val="Arial"/>
      <family val="2"/>
    </font>
    <font>
      <sz val="9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sz val="7"/>
      <color theme="0"/>
      <name val="Arial"/>
      <family val="2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sz val="9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37609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AE6CE"/>
        <bgColor indexed="64"/>
      </patternFill>
    </fill>
    <fill>
      <patternFill patternType="solid">
        <fgColor rgb="FFFFDD99"/>
        <bgColor indexed="64"/>
      </patternFill>
    </fill>
    <fill>
      <patternFill patternType="solid">
        <fgColor rgb="FFFFDDFF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FFFFD8"/>
        <bgColor indexed="64"/>
      </patternFill>
    </fill>
    <fill>
      <patternFill patternType="solid">
        <fgColor rgb="FFBB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BBDD55"/>
        <bgColor indexed="64"/>
      </patternFill>
    </fill>
    <fill>
      <patternFill patternType="solid">
        <fgColor rgb="FF0070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757171"/>
        <bgColor indexed="64"/>
      </patternFill>
    </fill>
    <fill>
      <patternFill patternType="solid">
        <fgColor rgb="FF6600FF"/>
        <bgColor indexed="64"/>
      </patternFill>
    </fill>
    <fill>
      <patternFill patternType="solid">
        <fgColor theme="6" tint="0.79998168889431442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5">
    <xf numFmtId="0" fontId="0" fillId="0" borderId="0">
      <alignment vertical="center"/>
    </xf>
    <xf numFmtId="0" fontId="14" fillId="0" borderId="0">
      <protection locked="0"/>
    </xf>
    <xf numFmtId="0" fontId="9" fillId="0" borderId="0">
      <protection locked="0"/>
    </xf>
    <xf numFmtId="0" fontId="14" fillId="0" borderId="0">
      <protection locked="0"/>
    </xf>
    <xf numFmtId="0" fontId="14" fillId="0" borderId="0">
      <alignment vertical="center"/>
    </xf>
    <xf numFmtId="0" fontId="14" fillId="0" borderId="0">
      <protection locked="0"/>
    </xf>
    <xf numFmtId="0" fontId="14" fillId="0" borderId="0">
      <alignment vertical="center"/>
    </xf>
    <xf numFmtId="0" fontId="14" fillId="0" borderId="0">
      <alignment vertical="center"/>
    </xf>
    <xf numFmtId="0" fontId="9" fillId="0" borderId="0">
      <protection locked="0"/>
    </xf>
    <xf numFmtId="0" fontId="14" fillId="0" borderId="0">
      <protection locked="0"/>
    </xf>
    <xf numFmtId="0" fontId="14" fillId="0" borderId="0">
      <alignment vertical="center"/>
    </xf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384">
    <xf numFmtId="0" fontId="0" fillId="0" borderId="0" xfId="0" applyAlignment="1">
      <alignment vertical="center"/>
    </xf>
    <xf numFmtId="0" fontId="7" fillId="0" borderId="22" xfId="3" applyFont="1" applyBorder="1" applyAlignment="1" applyProtection="1">
      <alignment horizontal="center"/>
    </xf>
    <xf numFmtId="0" fontId="7" fillId="0" borderId="24" xfId="3" applyFont="1" applyBorder="1" applyAlignment="1" applyProtection="1">
      <alignment horizontal="center"/>
    </xf>
    <xf numFmtId="0" fontId="7" fillId="0" borderId="5" xfId="3" applyFont="1" applyBorder="1" applyAlignment="1" applyProtection="1">
      <alignment horizontal="center"/>
    </xf>
    <xf numFmtId="0" fontId="5" fillId="0" borderId="0" xfId="3" applyFont="1" applyProtection="1"/>
    <xf numFmtId="0" fontId="7" fillId="0" borderId="14" xfId="3" applyFont="1" applyBorder="1" applyAlignment="1" applyProtection="1">
      <alignment vertical="center" wrapText="1"/>
    </xf>
    <xf numFmtId="0" fontId="7" fillId="0" borderId="14" xfId="3" applyFont="1" applyBorder="1" applyAlignment="1" applyProtection="1">
      <alignment horizontal="center"/>
    </xf>
    <xf numFmtId="0" fontId="7" fillId="0" borderId="0" xfId="3" applyFont="1" applyProtection="1"/>
    <xf numFmtId="0" fontId="11" fillId="0" borderId="5" xfId="3" applyFont="1" applyBorder="1" applyProtection="1"/>
    <xf numFmtId="0" fontId="11" fillId="5" borderId="5" xfId="3" applyFont="1" applyFill="1" applyBorder="1" applyAlignment="1" applyProtection="1">
      <alignment horizontal="center"/>
    </xf>
    <xf numFmtId="0" fontId="6" fillId="0" borderId="25" xfId="3" applyFont="1" applyBorder="1" applyProtection="1"/>
    <xf numFmtId="0" fontId="7" fillId="0" borderId="5" xfId="3" applyFont="1" applyBorder="1" applyProtection="1"/>
    <xf numFmtId="49" fontId="7" fillId="0" borderId="22" xfId="3" applyNumberFormat="1" applyFont="1" applyBorder="1" applyAlignment="1" applyProtection="1">
      <alignment horizontal="center"/>
    </xf>
    <xf numFmtId="49" fontId="7" fillId="0" borderId="5" xfId="3" applyNumberFormat="1" applyFont="1" applyBorder="1" applyAlignment="1" applyProtection="1">
      <alignment horizontal="center"/>
    </xf>
    <xf numFmtId="0" fontId="7" fillId="0" borderId="26" xfId="3" applyFont="1" applyBorder="1" applyProtection="1"/>
    <xf numFmtId="0" fontId="7" fillId="0" borderId="26" xfId="3" applyFont="1" applyBorder="1" applyAlignment="1" applyProtection="1">
      <alignment horizontal="center"/>
    </xf>
    <xf numFmtId="0" fontId="5" fillId="6" borderId="0" xfId="3" applyFont="1" applyFill="1" applyProtection="1"/>
    <xf numFmtId="0" fontId="5" fillId="9" borderId="0" xfId="3" applyFont="1" applyFill="1" applyProtection="1"/>
    <xf numFmtId="0" fontId="5" fillId="5" borderId="0" xfId="3" applyFont="1" applyFill="1" applyProtection="1"/>
    <xf numFmtId="0" fontId="14" fillId="12" borderId="0" xfId="1" applyFill="1" applyProtection="1"/>
    <xf numFmtId="0" fontId="14" fillId="0" borderId="0" xfId="1" applyProtection="1"/>
    <xf numFmtId="0" fontId="20" fillId="0" borderId="0" xfId="1" applyFont="1" applyAlignment="1" applyProtection="1">
      <alignment vertical="center"/>
    </xf>
    <xf numFmtId="0" fontId="17" fillId="0" borderId="0" xfId="1" applyFont="1" applyAlignment="1" applyProtection="1">
      <alignment vertical="center"/>
    </xf>
    <xf numFmtId="0" fontId="19" fillId="0" borderId="0" xfId="1" applyFont="1" applyAlignment="1" applyProtection="1">
      <alignment vertical="center"/>
    </xf>
    <xf numFmtId="0" fontId="15" fillId="0" borderId="0" xfId="1" applyFont="1" applyAlignment="1" applyProtection="1">
      <alignment horizontal="left" vertical="top"/>
    </xf>
    <xf numFmtId="0" fontId="23" fillId="2" borderId="6" xfId="1" applyFont="1" applyFill="1" applyBorder="1" applyAlignment="1" applyProtection="1">
      <alignment vertical="center"/>
    </xf>
    <xf numFmtId="0" fontId="23" fillId="8" borderId="2" xfId="1" applyFont="1" applyFill="1" applyBorder="1" applyAlignment="1" applyProtection="1">
      <alignment vertical="center"/>
    </xf>
    <xf numFmtId="0" fontId="24" fillId="0" borderId="0" xfId="3" applyFont="1" applyProtection="1"/>
    <xf numFmtId="0" fontId="5" fillId="0" borderId="0" xfId="1" applyFont="1" applyProtection="1"/>
    <xf numFmtId="0" fontId="5" fillId="12" borderId="0" xfId="1" applyFont="1" applyFill="1" applyProtection="1"/>
    <xf numFmtId="0" fontId="25" fillId="0" borderId="0" xfId="1" applyFont="1" applyProtection="1"/>
    <xf numFmtId="0" fontId="27" fillId="0" borderId="0" xfId="1" applyFont="1" applyProtection="1"/>
    <xf numFmtId="0" fontId="28" fillId="0" borderId="0" xfId="1" applyFont="1" applyProtection="1"/>
    <xf numFmtId="0" fontId="27" fillId="0" borderId="1" xfId="1" applyFont="1" applyBorder="1" applyProtection="1"/>
    <xf numFmtId="0" fontId="29" fillId="0" borderId="8" xfId="1" applyFont="1" applyBorder="1" applyProtection="1"/>
    <xf numFmtId="0" fontId="5" fillId="0" borderId="9" xfId="1" applyFont="1" applyBorder="1" applyProtection="1"/>
    <xf numFmtId="0" fontId="5" fillId="0" borderId="10" xfId="1" applyFont="1" applyBorder="1" applyProtection="1"/>
    <xf numFmtId="0" fontId="15" fillId="20" borderId="5" xfId="1" applyFont="1" applyFill="1" applyBorder="1" applyAlignment="1" applyProtection="1">
      <alignment vertical="center"/>
    </xf>
    <xf numFmtId="0" fontId="5" fillId="0" borderId="12" xfId="1" applyFont="1" applyBorder="1" applyProtection="1"/>
    <xf numFmtId="0" fontId="5" fillId="0" borderId="13" xfId="1" applyFont="1" applyBorder="1" applyProtection="1"/>
    <xf numFmtId="0" fontId="5" fillId="0" borderId="15" xfId="1" applyFont="1" applyBorder="1" applyProtection="1"/>
    <xf numFmtId="0" fontId="5" fillId="0" borderId="16" xfId="1" applyFont="1" applyBorder="1" applyProtection="1"/>
    <xf numFmtId="0" fontId="5" fillId="0" borderId="17" xfId="1" applyFont="1" applyBorder="1" applyProtection="1"/>
    <xf numFmtId="0" fontId="18" fillId="0" borderId="0" xfId="1" applyFont="1" applyProtection="1"/>
    <xf numFmtId="0" fontId="18" fillId="12" borderId="0" xfId="1" applyFont="1" applyFill="1" applyProtection="1"/>
    <xf numFmtId="0" fontId="7" fillId="0" borderId="5" xfId="1" applyFont="1" applyBorder="1" applyAlignment="1" applyProtection="1">
      <alignment horizontal="center" vertical="center"/>
    </xf>
    <xf numFmtId="0" fontId="15" fillId="0" borderId="0" xfId="1" applyFont="1" applyProtection="1"/>
    <xf numFmtId="0" fontId="15" fillId="4" borderId="5" xfId="1" applyFont="1" applyFill="1" applyBorder="1" applyProtection="1"/>
    <xf numFmtId="0" fontId="21" fillId="0" borderId="0" xfId="1" applyFont="1" applyAlignment="1" applyProtection="1">
      <alignment vertical="center"/>
    </xf>
    <xf numFmtId="0" fontId="7" fillId="7" borderId="9" xfId="1" applyFont="1" applyFill="1" applyBorder="1" applyAlignment="1" applyProtection="1">
      <alignment textRotation="90"/>
    </xf>
    <xf numFmtId="0" fontId="7" fillId="7" borderId="0" xfId="1" applyFont="1" applyFill="1" applyAlignment="1" applyProtection="1">
      <alignment textRotation="90"/>
    </xf>
    <xf numFmtId="0" fontId="7" fillId="0" borderId="0" xfId="1" applyFont="1" applyAlignment="1" applyProtection="1">
      <alignment horizontal="center" vertical="center"/>
    </xf>
    <xf numFmtId="2" fontId="7" fillId="0" borderId="5" xfId="1" applyNumberFormat="1" applyFont="1" applyBorder="1" applyAlignment="1" applyProtection="1">
      <alignment horizontal="center" vertical="center"/>
    </xf>
    <xf numFmtId="0" fontId="7" fillId="5" borderId="5" xfId="1" applyFont="1" applyFill="1" applyBorder="1" applyAlignment="1" applyProtection="1">
      <alignment horizontal="center" vertical="center"/>
    </xf>
    <xf numFmtId="0" fontId="7" fillId="5" borderId="0" xfId="1" applyFont="1" applyFill="1" applyAlignment="1" applyProtection="1">
      <alignment horizontal="center" vertical="center"/>
    </xf>
    <xf numFmtId="1" fontId="7" fillId="5" borderId="0" xfId="1" applyNumberFormat="1" applyFont="1" applyFill="1" applyAlignment="1" applyProtection="1">
      <alignment horizontal="center" vertical="center"/>
    </xf>
    <xf numFmtId="0" fontId="22" fillId="0" borderId="0" xfId="1" applyFont="1" applyProtection="1"/>
    <xf numFmtId="2" fontId="5" fillId="0" borderId="0" xfId="1" applyNumberFormat="1" applyFont="1" applyProtection="1"/>
    <xf numFmtId="0" fontId="6" fillId="0" borderId="0" xfId="1" applyFont="1" applyAlignment="1" applyProtection="1">
      <alignment vertical="center"/>
    </xf>
    <xf numFmtId="0" fontId="15" fillId="16" borderId="5" xfId="1" applyFont="1" applyFill="1" applyBorder="1" applyProtection="1"/>
    <xf numFmtId="0" fontId="26" fillId="0" borderId="0" xfId="1" applyFont="1" applyAlignment="1" applyProtection="1">
      <alignment horizontal="center" vertical="center"/>
    </xf>
    <xf numFmtId="1" fontId="26" fillId="0" borderId="0" xfId="1" applyNumberFormat="1" applyFont="1" applyAlignment="1" applyProtection="1">
      <alignment horizontal="center" vertical="center"/>
    </xf>
    <xf numFmtId="0" fontId="9" fillId="0" borderId="12" xfId="1" applyFont="1" applyBorder="1" applyProtection="1"/>
    <xf numFmtId="15" fontId="7" fillId="0" borderId="0" xfId="1" applyNumberFormat="1" applyFont="1" applyAlignment="1" applyProtection="1">
      <alignment vertical="center"/>
    </xf>
    <xf numFmtId="2" fontId="5" fillId="12" borderId="0" xfId="1" applyNumberFormat="1" applyFont="1" applyFill="1" applyProtection="1"/>
    <xf numFmtId="0" fontId="7" fillId="7" borderId="5" xfId="1" applyFont="1" applyFill="1" applyBorder="1" applyAlignment="1" applyProtection="1">
      <alignment horizontal="center" vertical="center"/>
    </xf>
    <xf numFmtId="1" fontId="7" fillId="7" borderId="5" xfId="1" applyNumberFormat="1" applyFont="1" applyFill="1" applyBorder="1" applyAlignment="1" applyProtection="1">
      <alignment horizontal="center" vertical="center"/>
    </xf>
    <xf numFmtId="15" fontId="6" fillId="0" borderId="0" xfId="1" applyNumberFormat="1" applyFont="1" applyAlignment="1" applyProtection="1">
      <alignment vertical="center"/>
    </xf>
    <xf numFmtId="0" fontId="15" fillId="0" borderId="5" xfId="1" applyFont="1" applyBorder="1" applyAlignment="1" applyProtection="1">
      <alignment horizontal="center"/>
    </xf>
    <xf numFmtId="0" fontId="5" fillId="0" borderId="1" xfId="1" applyFont="1" applyBorder="1" applyProtection="1"/>
    <xf numFmtId="0" fontId="29" fillId="0" borderId="0" xfId="1" applyFont="1" applyProtection="1"/>
    <xf numFmtId="0" fontId="9" fillId="0" borderId="0" xfId="1" applyFont="1" applyProtection="1"/>
    <xf numFmtId="0" fontId="21" fillId="0" borderId="12" xfId="1" applyFont="1" applyBorder="1" applyAlignment="1" applyProtection="1">
      <alignment horizontal="center" vertical="top"/>
    </xf>
    <xf numFmtId="0" fontId="21" fillId="0" borderId="0" xfId="1" applyFont="1" applyAlignment="1" applyProtection="1">
      <alignment horizontal="center" vertical="top"/>
    </xf>
    <xf numFmtId="0" fontId="15" fillId="0" borderId="10" xfId="1" applyFont="1" applyBorder="1" applyAlignment="1" applyProtection="1">
      <alignment horizontal="left" vertical="top"/>
    </xf>
    <xf numFmtId="0" fontId="15" fillId="0" borderId="13" xfId="1" applyFont="1" applyBorder="1" applyAlignment="1" applyProtection="1">
      <alignment horizontal="left" vertical="top"/>
    </xf>
    <xf numFmtId="0" fontId="25" fillId="0" borderId="15" xfId="1" applyFont="1" applyBorder="1" applyProtection="1"/>
    <xf numFmtId="0" fontId="7" fillId="0" borderId="16" xfId="1" applyFont="1" applyBorder="1" applyAlignment="1" applyProtection="1">
      <alignment vertical="center"/>
    </xf>
    <xf numFmtId="0" fontId="25" fillId="0" borderId="16" xfId="1" applyFont="1" applyBorder="1" applyProtection="1"/>
    <xf numFmtId="0" fontId="27" fillId="0" borderId="16" xfId="1" applyFont="1" applyBorder="1" applyProtection="1"/>
    <xf numFmtId="0" fontId="21" fillId="0" borderId="8" xfId="1" applyFont="1" applyBorder="1" applyAlignment="1" applyProtection="1">
      <alignment vertical="top"/>
    </xf>
    <xf numFmtId="0" fontId="21" fillId="0" borderId="9" xfId="1" applyFont="1" applyBorder="1" applyAlignment="1" applyProtection="1">
      <alignment vertical="top"/>
    </xf>
    <xf numFmtId="0" fontId="21" fillId="0" borderId="12" xfId="1" applyFont="1" applyBorder="1" applyAlignment="1" applyProtection="1">
      <alignment vertical="top"/>
    </xf>
    <xf numFmtId="0" fontId="7" fillId="0" borderId="0" xfId="1" applyFont="1" applyAlignment="1" applyProtection="1">
      <alignment vertical="center" textRotation="90"/>
    </xf>
    <xf numFmtId="0" fontId="7" fillId="23" borderId="0" xfId="1" applyFont="1" applyFill="1" applyAlignment="1" applyProtection="1">
      <alignment horizontal="center" vertical="center"/>
    </xf>
    <xf numFmtId="1" fontId="7" fillId="23" borderId="0" xfId="1" applyNumberFormat="1" applyFont="1" applyFill="1" applyAlignment="1" applyProtection="1">
      <alignment horizontal="center" vertical="center"/>
    </xf>
    <xf numFmtId="0" fontId="21" fillId="0" borderId="0" xfId="1" applyFont="1" applyAlignment="1" applyProtection="1">
      <alignment vertical="top"/>
    </xf>
    <xf numFmtId="0" fontId="15" fillId="22" borderId="5" xfId="1" applyFont="1" applyFill="1" applyBorder="1" applyAlignment="1" applyProtection="1">
      <alignment horizontal="center" vertical="center"/>
    </xf>
    <xf numFmtId="0" fontId="37" fillId="0" borderId="2" xfId="1" applyFont="1" applyBorder="1" applyProtection="1"/>
    <xf numFmtId="0" fontId="37" fillId="0" borderId="4" xfId="1" applyFont="1" applyBorder="1" applyProtection="1"/>
    <xf numFmtId="1" fontId="5" fillId="0" borderId="5" xfId="10" applyNumberFormat="1" applyFont="1" applyBorder="1" applyAlignment="1">
      <alignment horizontal="center" vertical="center"/>
    </xf>
    <xf numFmtId="0" fontId="15" fillId="22" borderId="4" xfId="1" applyFont="1" applyFill="1" applyBorder="1" applyAlignment="1" applyProtection="1">
      <alignment horizontal="center" vertical="center"/>
    </xf>
    <xf numFmtId="2" fontId="27" fillId="6" borderId="5" xfId="10" applyNumberFormat="1" applyFont="1" applyFill="1" applyBorder="1" applyAlignment="1" applyProtection="1">
      <alignment horizontal="center" vertical="center"/>
      <protection hidden="1"/>
    </xf>
    <xf numFmtId="0" fontId="15" fillId="0" borderId="0" xfId="1" applyFont="1" applyAlignment="1" applyProtection="1">
      <alignment horizontal="left" vertical="center"/>
    </xf>
    <xf numFmtId="0" fontId="38" fillId="0" borderId="5" xfId="2" applyFont="1" applyBorder="1" applyAlignment="1" applyProtection="1">
      <alignment horizontal="center" vertical="center"/>
    </xf>
    <xf numFmtId="0" fontId="38" fillId="12" borderId="5" xfId="1" applyFont="1" applyFill="1" applyBorder="1" applyAlignment="1" applyProtection="1">
      <alignment horizontal="center" vertical="center"/>
    </xf>
    <xf numFmtId="1" fontId="38" fillId="12" borderId="5" xfId="2" applyNumberFormat="1" applyFont="1" applyFill="1" applyBorder="1" applyAlignment="1" applyProtection="1">
      <alignment horizontal="center" vertical="center"/>
    </xf>
    <xf numFmtId="1" fontId="38" fillId="6" borderId="5" xfId="2" applyNumberFormat="1" applyFont="1" applyFill="1" applyBorder="1" applyAlignment="1" applyProtection="1">
      <alignment horizontal="center" vertical="center"/>
    </xf>
    <xf numFmtId="1" fontId="38" fillId="6" borderId="5" xfId="1" applyNumberFormat="1" applyFont="1" applyFill="1" applyBorder="1" applyAlignment="1" applyProtection="1">
      <alignment vertical="center"/>
    </xf>
    <xf numFmtId="1" fontId="38" fillId="12" borderId="5" xfId="1" applyNumberFormat="1" applyFont="1" applyFill="1" applyBorder="1" applyAlignment="1" applyProtection="1">
      <alignment horizontal="center" vertical="center"/>
    </xf>
    <xf numFmtId="0" fontId="38" fillId="0" borderId="7" xfId="2" applyFont="1" applyBorder="1" applyAlignment="1" applyProtection="1">
      <alignment horizontal="center" vertical="center"/>
    </xf>
    <xf numFmtId="1" fontId="38" fillId="6" borderId="7" xfId="2" applyNumberFormat="1" applyFont="1" applyFill="1" applyBorder="1" applyAlignment="1" applyProtection="1">
      <alignment horizontal="center" vertical="center"/>
    </xf>
    <xf numFmtId="1" fontId="38" fillId="6" borderId="0" xfId="10" applyNumberFormat="1" applyFont="1" applyFill="1" applyAlignment="1" applyProtection="1">
      <alignment horizontal="center" vertical="center"/>
      <protection hidden="1"/>
    </xf>
    <xf numFmtId="1" fontId="38" fillId="6" borderId="7" xfId="1" applyNumberFormat="1" applyFont="1" applyFill="1" applyBorder="1" applyAlignment="1" applyProtection="1">
      <alignment vertical="center"/>
    </xf>
    <xf numFmtId="2" fontId="38" fillId="6" borderId="5" xfId="1" applyNumberFormat="1" applyFont="1" applyFill="1" applyBorder="1" applyAlignment="1" applyProtection="1">
      <alignment horizontal="center" vertical="center"/>
    </xf>
    <xf numFmtId="2" fontId="38" fillId="6" borderId="5" xfId="1" applyNumberFormat="1" applyFont="1" applyFill="1" applyBorder="1" applyAlignment="1" applyProtection="1">
      <alignment vertical="center"/>
    </xf>
    <xf numFmtId="0" fontId="39" fillId="12" borderId="0" xfId="1" applyFont="1" applyFill="1" applyProtection="1"/>
    <xf numFmtId="0" fontId="31" fillId="12" borderId="0" xfId="1" applyFont="1" applyFill="1" applyProtection="1"/>
    <xf numFmtId="0" fontId="3" fillId="0" borderId="0" xfId="13" applyFont="1"/>
    <xf numFmtId="0" fontId="40" fillId="0" borderId="0" xfId="10" applyFont="1" applyAlignment="1"/>
    <xf numFmtId="0" fontId="5" fillId="0" borderId="0" xfId="10" applyFont="1" applyAlignment="1"/>
    <xf numFmtId="0" fontId="5" fillId="0" borderId="0" xfId="10" applyFont="1" applyAlignment="1">
      <alignment horizontal="center"/>
    </xf>
    <xf numFmtId="0" fontId="41" fillId="22" borderId="5" xfId="10" applyFont="1" applyFill="1" applyBorder="1" applyAlignment="1">
      <alignment horizontal="center"/>
    </xf>
    <xf numFmtId="0" fontId="42" fillId="4" borderId="5" xfId="10" applyFont="1" applyFill="1" applyBorder="1" applyAlignment="1">
      <alignment horizontal="center" vertical="center"/>
    </xf>
    <xf numFmtId="0" fontId="28" fillId="0" borderId="0" xfId="13" applyFont="1" applyAlignment="1">
      <alignment horizontal="center" vertical="center"/>
    </xf>
    <xf numFmtId="0" fontId="27" fillId="0" borderId="0" xfId="13" applyFont="1" applyAlignment="1">
      <alignment horizontal="center" vertical="center"/>
    </xf>
    <xf numFmtId="0" fontId="43" fillId="0" borderId="5" xfId="10" applyFont="1" applyBorder="1" applyAlignment="1">
      <alignment horizontal="center"/>
    </xf>
    <xf numFmtId="49" fontId="43" fillId="0" borderId="5" xfId="10" applyNumberFormat="1" applyFont="1" applyBorder="1" applyAlignment="1">
      <alignment horizontal="center"/>
    </xf>
    <xf numFmtId="0" fontId="44" fillId="0" borderId="5" xfId="10" applyFont="1" applyBorder="1" applyAlignment="1">
      <alignment horizontal="center" vertical="center" wrapText="1"/>
    </xf>
    <xf numFmtId="0" fontId="28" fillId="0" borderId="5" xfId="13" applyFont="1" applyBorder="1" applyAlignment="1">
      <alignment horizontal="center" vertical="center"/>
    </xf>
    <xf numFmtId="0" fontId="27" fillId="0" borderId="5" xfId="13" applyFont="1" applyBorder="1" applyAlignment="1">
      <alignment horizontal="center" vertical="center"/>
    </xf>
    <xf numFmtId="0" fontId="45" fillId="0" borderId="11" xfId="10" applyFont="1" applyBorder="1" applyAlignment="1">
      <alignment horizontal="left"/>
    </xf>
    <xf numFmtId="0" fontId="43" fillId="0" borderId="0" xfId="10" applyFont="1" applyAlignment="1">
      <alignment horizontal="center"/>
    </xf>
    <xf numFmtId="0" fontId="44" fillId="0" borderId="0" xfId="10" applyFont="1" applyAlignment="1">
      <alignment horizontal="center" vertical="center" wrapText="1"/>
    </xf>
    <xf numFmtId="0" fontId="41" fillId="22" borderId="7" xfId="10" applyFont="1" applyFill="1" applyBorder="1" applyAlignment="1">
      <alignment horizontal="center"/>
    </xf>
    <xf numFmtId="0" fontId="5" fillId="0" borderId="5" xfId="14" applyFont="1" applyBorder="1" applyAlignment="1">
      <alignment horizontal="center"/>
    </xf>
    <xf numFmtId="0" fontId="27" fillId="0" borderId="5" xfId="10" applyFont="1" applyBorder="1" applyAlignment="1">
      <alignment horizontal="center"/>
    </xf>
    <xf numFmtId="0" fontId="5" fillId="0" borderId="5" xfId="10" applyFont="1" applyBorder="1" applyAlignment="1">
      <alignment horizontal="center"/>
    </xf>
    <xf numFmtId="0" fontId="5" fillId="0" borderId="0" xfId="14" applyFont="1" applyAlignment="1">
      <alignment horizontal="center"/>
    </xf>
    <xf numFmtId="0" fontId="5" fillId="0" borderId="5" xfId="10" applyFont="1" applyBorder="1" applyAlignment="1">
      <alignment horizontal="center" vertical="center"/>
    </xf>
    <xf numFmtId="0" fontId="3" fillId="0" borderId="5" xfId="10" applyFont="1" applyBorder="1" applyAlignment="1">
      <alignment horizontal="center" vertical="center"/>
    </xf>
    <xf numFmtId="0" fontId="0" fillId="0" borderId="0" xfId="10" applyFont="1" applyAlignment="1"/>
    <xf numFmtId="0" fontId="42" fillId="6" borderId="5" xfId="10" applyFont="1" applyFill="1" applyBorder="1" applyAlignment="1">
      <alignment horizontal="center" vertical="center"/>
    </xf>
    <xf numFmtId="0" fontId="3" fillId="0" borderId="0" xfId="13" applyFont="1" applyAlignment="1">
      <alignment horizontal="left" vertical="top"/>
    </xf>
    <xf numFmtId="16" fontId="43" fillId="0" borderId="5" xfId="10" applyNumberFormat="1" applyFont="1" applyBorder="1" applyAlignment="1">
      <alignment horizontal="center"/>
    </xf>
    <xf numFmtId="0" fontId="42" fillId="22" borderId="5" xfId="10" applyFont="1" applyFill="1" applyBorder="1" applyAlignment="1">
      <alignment vertical="center"/>
    </xf>
    <xf numFmtId="0" fontId="42" fillId="22" borderId="5" xfId="10" applyFont="1" applyFill="1" applyBorder="1" applyAlignment="1">
      <alignment horizontal="center" vertical="center"/>
    </xf>
    <xf numFmtId="0" fontId="42" fillId="22" borderId="5" xfId="10" applyFont="1" applyFill="1" applyBorder="1" applyAlignment="1">
      <alignment horizontal="center" vertical="center" wrapText="1"/>
    </xf>
    <xf numFmtId="0" fontId="44" fillId="0" borderId="5" xfId="10" applyFont="1" applyBorder="1" applyAlignment="1">
      <alignment vertical="center" wrapText="1"/>
    </xf>
    <xf numFmtId="0" fontId="5" fillId="0" borderId="5" xfId="10" applyFont="1" applyBorder="1" applyAlignment="1"/>
    <xf numFmtId="49" fontId="44" fillId="0" borderId="5" xfId="10" applyNumberFormat="1" applyFont="1" applyBorder="1" applyAlignment="1">
      <alignment horizontal="center" vertical="center" wrapText="1"/>
    </xf>
    <xf numFmtId="0" fontId="42" fillId="22" borderId="7" xfId="10" applyFont="1" applyFill="1" applyBorder="1" applyAlignment="1">
      <alignment vertical="center"/>
    </xf>
    <xf numFmtId="0" fontId="42" fillId="22" borderId="7" xfId="10" applyFont="1" applyFill="1" applyBorder="1" applyAlignment="1">
      <alignment horizontal="center" vertical="center" wrapText="1"/>
    </xf>
    <xf numFmtId="0" fontId="42" fillId="6" borderId="7" xfId="10" applyFont="1" applyFill="1" applyBorder="1" applyAlignment="1">
      <alignment horizontal="center" vertical="center"/>
    </xf>
    <xf numFmtId="0" fontId="16" fillId="0" borderId="5" xfId="10" applyFont="1" applyBorder="1" applyAlignment="1">
      <alignment horizontal="center"/>
    </xf>
    <xf numFmtId="0" fontId="44" fillId="0" borderId="0" xfId="10" applyFont="1" applyAlignment="1">
      <alignment vertical="center" wrapText="1"/>
    </xf>
    <xf numFmtId="0" fontId="46" fillId="26" borderId="36" xfId="13" applyFont="1" applyFill="1" applyBorder="1" applyAlignment="1">
      <alignment horizontal="center" vertical="center" wrapText="1" readingOrder="1"/>
    </xf>
    <xf numFmtId="0" fontId="46" fillId="26" borderId="5" xfId="13" applyFont="1" applyFill="1" applyBorder="1" applyAlignment="1">
      <alignment horizontal="center" vertical="center" wrapText="1" readingOrder="1"/>
    </xf>
    <xf numFmtId="0" fontId="3" fillId="0" borderId="5" xfId="13" applyFont="1" applyBorder="1" applyAlignment="1">
      <alignment horizontal="center" vertical="center"/>
    </xf>
    <xf numFmtId="0" fontId="38" fillId="6" borderId="5" xfId="0" applyFont="1" applyFill="1" applyBorder="1" applyAlignment="1">
      <alignment horizontal="center"/>
    </xf>
    <xf numFmtId="0" fontId="38" fillId="6" borderId="0" xfId="0" applyFont="1" applyFill="1" applyAlignment="1">
      <alignment horizontal="center"/>
    </xf>
    <xf numFmtId="1" fontId="38" fillId="6" borderId="5" xfId="10" applyNumberFormat="1" applyFont="1" applyFill="1" applyBorder="1" applyAlignment="1" applyProtection="1">
      <alignment horizontal="center" vertical="center"/>
      <protection hidden="1"/>
    </xf>
    <xf numFmtId="49" fontId="3" fillId="0" borderId="5" xfId="10" applyNumberFormat="1" applyFont="1" applyBorder="1" applyAlignment="1">
      <alignment horizontal="center" vertical="center"/>
    </xf>
    <xf numFmtId="49" fontId="5" fillId="0" borderId="5" xfId="10" applyNumberFormat="1" applyFont="1" applyBorder="1" applyAlignment="1">
      <alignment horizontal="center" vertical="center"/>
    </xf>
    <xf numFmtId="0" fontId="47" fillId="12" borderId="11" xfId="1" applyFont="1" applyFill="1" applyBorder="1" applyAlignment="1" applyProtection="1">
      <alignment horizontal="center" textRotation="90"/>
    </xf>
    <xf numFmtId="0" fontId="47" fillId="12" borderId="14" xfId="1" applyFont="1" applyFill="1" applyBorder="1" applyAlignment="1" applyProtection="1">
      <alignment horizontal="center" textRotation="90"/>
    </xf>
    <xf numFmtId="0" fontId="48" fillId="0" borderId="5" xfId="1" applyFont="1" applyBorder="1" applyAlignment="1" applyProtection="1">
      <alignment horizontal="center" vertical="center"/>
    </xf>
    <xf numFmtId="0" fontId="7" fillId="23" borderId="5" xfId="1" applyFont="1" applyFill="1" applyBorder="1" applyAlignment="1" applyProtection="1">
      <alignment horizontal="center" vertical="center"/>
    </xf>
    <xf numFmtId="0" fontId="30" fillId="27" borderId="7" xfId="1" applyFont="1" applyFill="1" applyBorder="1" applyAlignment="1" applyProtection="1">
      <alignment horizontal="center" textRotation="90"/>
    </xf>
    <xf numFmtId="0" fontId="30" fillId="27" borderId="11" xfId="1" applyFont="1" applyFill="1" applyBorder="1" applyAlignment="1" applyProtection="1">
      <alignment horizontal="center" textRotation="90"/>
    </xf>
    <xf numFmtId="0" fontId="47" fillId="27" borderId="11" xfId="1" applyFont="1" applyFill="1" applyBorder="1" applyAlignment="1" applyProtection="1">
      <alignment horizontal="center" textRotation="90"/>
    </xf>
    <xf numFmtId="0" fontId="47" fillId="27" borderId="14" xfId="1" applyFont="1" applyFill="1" applyBorder="1" applyAlignment="1" applyProtection="1">
      <alignment horizontal="center" textRotation="90"/>
    </xf>
    <xf numFmtId="0" fontId="48" fillId="27" borderId="5" xfId="1" applyFont="1" applyFill="1" applyBorder="1" applyAlignment="1" applyProtection="1">
      <alignment horizontal="center" vertical="center"/>
    </xf>
    <xf numFmtId="0" fontId="3" fillId="0" borderId="5" xfId="13" applyFont="1" applyBorder="1" applyAlignment="1">
      <alignment horizontal="center"/>
    </xf>
    <xf numFmtId="1" fontId="5" fillId="0" borderId="5" xfId="10" applyNumberFormat="1" applyFont="1" applyBorder="1" applyAlignment="1">
      <alignment horizontal="center"/>
    </xf>
    <xf numFmtId="1" fontId="3" fillId="0" borderId="0" xfId="13" applyNumberFormat="1" applyFont="1"/>
    <xf numFmtId="0" fontId="2" fillId="0" borderId="5" xfId="13" applyFont="1" applyBorder="1" applyAlignment="1">
      <alignment horizontal="center"/>
    </xf>
    <xf numFmtId="0" fontId="26" fillId="0" borderId="5" xfId="1" applyFont="1" applyBorder="1" applyAlignment="1" applyProtection="1">
      <alignment horizontal="center" vertical="center"/>
    </xf>
    <xf numFmtId="1" fontId="26" fillId="0" borderId="5" xfId="1" applyNumberFormat="1" applyFont="1" applyBorder="1" applyAlignment="1" applyProtection="1">
      <alignment horizontal="center" vertical="center"/>
    </xf>
    <xf numFmtId="2" fontId="26" fillId="0" borderId="5" xfId="1" applyNumberFormat="1" applyFont="1" applyBorder="1" applyAlignment="1" applyProtection="1">
      <alignment horizontal="center" vertical="center"/>
    </xf>
    <xf numFmtId="1" fontId="7" fillId="0" borderId="5" xfId="1" applyNumberFormat="1" applyFont="1" applyBorder="1" applyAlignment="1" applyProtection="1">
      <alignment horizontal="center" vertical="center"/>
    </xf>
    <xf numFmtId="0" fontId="35" fillId="6" borderId="0" xfId="10" applyFont="1" applyFill="1" applyAlignment="1" applyProtection="1">
      <alignment horizontal="left" vertical="center"/>
      <protection hidden="1"/>
    </xf>
    <xf numFmtId="1" fontId="21" fillId="12" borderId="5" xfId="1" applyNumberFormat="1" applyFont="1" applyFill="1" applyBorder="1" applyAlignment="1" applyProtection="1">
      <alignment horizontal="center" vertical="center"/>
    </xf>
    <xf numFmtId="0" fontId="38" fillId="12" borderId="5" xfId="2" applyFont="1" applyFill="1" applyBorder="1" applyAlignment="1" applyProtection="1">
      <alignment horizontal="center" vertical="center"/>
    </xf>
    <xf numFmtId="0" fontId="25" fillId="12" borderId="0" xfId="1" applyFont="1" applyFill="1" applyProtection="1"/>
    <xf numFmtId="0" fontId="49" fillId="12" borderId="0" xfId="1" applyFont="1" applyFill="1" applyAlignment="1" applyProtection="1">
      <alignment horizontal="left" vertical="top"/>
    </xf>
    <xf numFmtId="0" fontId="50" fillId="12" borderId="0" xfId="1" applyFont="1" applyFill="1" applyAlignment="1" applyProtection="1">
      <alignment vertical="center" textRotation="90"/>
    </xf>
    <xf numFmtId="0" fontId="51" fillId="12" borderId="0" xfId="1" applyFont="1" applyFill="1" applyAlignment="1" applyProtection="1">
      <alignment horizontal="center" vertical="center" wrapText="1"/>
    </xf>
    <xf numFmtId="0" fontId="52" fillId="12" borderId="0" xfId="1" applyFont="1" applyFill="1" applyAlignment="1" applyProtection="1">
      <alignment horizontal="center" textRotation="90"/>
    </xf>
    <xf numFmtId="0" fontId="48" fillId="5" borderId="0" xfId="1" applyFont="1" applyFill="1" applyAlignment="1" applyProtection="1">
      <alignment vertical="center"/>
    </xf>
    <xf numFmtId="0" fontId="48" fillId="23" borderId="0" xfId="1" applyFont="1" applyFill="1" applyAlignment="1" applyProtection="1">
      <alignment vertical="center"/>
    </xf>
    <xf numFmtId="1" fontId="50" fillId="12" borderId="0" xfId="1" applyNumberFormat="1" applyFont="1" applyFill="1" applyAlignment="1" applyProtection="1">
      <alignment horizontal="center" vertical="center"/>
    </xf>
    <xf numFmtId="1" fontId="53" fillId="24" borderId="0" xfId="0" applyNumberFormat="1" applyFont="1" applyFill="1" applyAlignment="1" applyProtection="1">
      <alignment horizontal="center" vertical="center"/>
      <protection hidden="1"/>
    </xf>
    <xf numFmtId="1" fontId="7" fillId="12" borderId="0" xfId="1" applyNumberFormat="1" applyFont="1" applyFill="1" applyAlignment="1" applyProtection="1">
      <alignment horizontal="center" vertical="center"/>
    </xf>
    <xf numFmtId="0" fontId="38" fillId="23" borderId="7" xfId="1" applyFont="1" applyFill="1" applyBorder="1" applyAlignment="1" applyProtection="1">
      <alignment vertical="center"/>
    </xf>
    <xf numFmtId="0" fontId="38" fillId="5" borderId="7" xfId="1" applyFont="1" applyFill="1" applyBorder="1" applyAlignment="1" applyProtection="1">
      <alignment vertical="center"/>
    </xf>
    <xf numFmtId="0" fontId="36" fillId="0" borderId="0" xfId="24" applyFont="1"/>
    <xf numFmtId="0" fontId="38" fillId="0" borderId="0" xfId="24" applyFont="1"/>
    <xf numFmtId="0" fontId="27" fillId="0" borderId="0" xfId="24" applyFont="1"/>
    <xf numFmtId="0" fontId="28" fillId="0" borderId="0" xfId="24" applyFont="1"/>
    <xf numFmtId="0" fontId="36" fillId="0" borderId="5" xfId="24" applyFont="1" applyBorder="1" applyAlignment="1">
      <alignment vertical="center"/>
    </xf>
    <xf numFmtId="0" fontId="36" fillId="0" borderId="5" xfId="24" applyFont="1" applyBorder="1" applyAlignment="1">
      <alignment vertical="center" wrapText="1"/>
    </xf>
    <xf numFmtId="0" fontId="38" fillId="0" borderId="0" xfId="24" applyFont="1" applyAlignment="1">
      <alignment vertical="center"/>
    </xf>
    <xf numFmtId="0" fontId="27" fillId="0" borderId="0" xfId="24" applyFont="1" applyAlignment="1">
      <alignment vertical="center"/>
    </xf>
    <xf numFmtId="0" fontId="18" fillId="17" borderId="5" xfId="24" applyFont="1" applyFill="1" applyBorder="1" applyAlignment="1">
      <alignment horizontal="center" vertical="center" wrapText="1"/>
    </xf>
    <xf numFmtId="0" fontId="18" fillId="17" borderId="5" xfId="24" applyFont="1" applyFill="1" applyBorder="1" applyAlignment="1">
      <alignment horizontal="center" vertical="center"/>
    </xf>
    <xf numFmtId="0" fontId="54" fillId="0" borderId="5" xfId="24" applyFont="1" applyBorder="1" applyAlignment="1">
      <alignment vertical="center" wrapText="1"/>
    </xf>
    <xf numFmtId="0" fontId="27" fillId="4" borderId="5" xfId="24" applyFont="1" applyFill="1" applyBorder="1" applyAlignment="1">
      <alignment horizontal="center" vertical="center" wrapText="1"/>
    </xf>
    <xf numFmtId="0" fontId="27" fillId="4" borderId="5" xfId="24" applyFont="1" applyFill="1" applyBorder="1" applyAlignment="1">
      <alignment horizontal="center" vertical="center"/>
    </xf>
    <xf numFmtId="0" fontId="38" fillId="0" borderId="5" xfId="24" applyFont="1" applyBorder="1" applyAlignment="1">
      <alignment horizontal="center"/>
    </xf>
    <xf numFmtId="0" fontId="38" fillId="0" borderId="5" xfId="24" applyFont="1" applyBorder="1"/>
    <xf numFmtId="0" fontId="31" fillId="28" borderId="5" xfId="24" applyFont="1" applyFill="1" applyBorder="1" applyAlignment="1">
      <alignment horizontal="center" vertical="center"/>
    </xf>
    <xf numFmtId="0" fontId="5" fillId="28" borderId="5" xfId="24" applyFont="1" applyFill="1" applyBorder="1" applyAlignment="1">
      <alignment horizontal="center" vertical="center"/>
    </xf>
    <xf numFmtId="0" fontId="5" fillId="0" borderId="5" xfId="24" applyFont="1" applyBorder="1" applyAlignment="1">
      <alignment horizontal="center"/>
    </xf>
    <xf numFmtId="0" fontId="55" fillId="29" borderId="5" xfId="24" applyFont="1" applyFill="1" applyBorder="1" applyAlignment="1">
      <alignment horizontal="left" vertical="center" wrapText="1" indent="1"/>
    </xf>
    <xf numFmtId="0" fontId="55" fillId="0" borderId="5" xfId="24" applyFont="1" applyBorder="1" applyAlignment="1">
      <alignment horizontal="left" vertical="center" wrapText="1" indent="1"/>
    </xf>
    <xf numFmtId="0" fontId="27" fillId="0" borderId="5" xfId="24" applyFont="1" applyBorder="1"/>
    <xf numFmtId="2" fontId="27" fillId="0" borderId="5" xfId="24" applyNumberFormat="1" applyFont="1" applyBorder="1" applyAlignment="1">
      <alignment horizontal="center" vertical="center"/>
    </xf>
    <xf numFmtId="0" fontId="55" fillId="30" borderId="5" xfId="24" applyFont="1" applyFill="1" applyBorder="1" applyAlignment="1">
      <alignment horizontal="left" vertical="center" wrapText="1" indent="1"/>
    </xf>
    <xf numFmtId="0" fontId="31" fillId="23" borderId="5" xfId="24" applyFont="1" applyFill="1" applyBorder="1" applyAlignment="1">
      <alignment horizontal="center" vertical="center"/>
    </xf>
    <xf numFmtId="0" fontId="55" fillId="23" borderId="5" xfId="24" applyFont="1" applyFill="1" applyBorder="1" applyAlignment="1">
      <alignment horizontal="center" vertical="center"/>
    </xf>
    <xf numFmtId="0" fontId="55" fillId="31" borderId="5" xfId="24" applyFont="1" applyFill="1" applyBorder="1" applyAlignment="1">
      <alignment horizontal="left" vertical="center" wrapText="1" indent="1"/>
    </xf>
    <xf numFmtId="0" fontId="36" fillId="0" borderId="5" xfId="24" applyFont="1" applyBorder="1"/>
    <xf numFmtId="0" fontId="55" fillId="32" borderId="5" xfId="24" applyFont="1" applyFill="1" applyBorder="1" applyAlignment="1">
      <alignment horizontal="left" vertical="center" wrapText="1" indent="1"/>
    </xf>
    <xf numFmtId="0" fontId="31" fillId="33" borderId="5" xfId="24" applyFont="1" applyFill="1" applyBorder="1" applyAlignment="1">
      <alignment horizontal="center" vertical="center"/>
    </xf>
    <xf numFmtId="0" fontId="55" fillId="33" borderId="5" xfId="24" applyFont="1" applyFill="1" applyBorder="1" applyAlignment="1">
      <alignment horizontal="center" vertical="center"/>
    </xf>
    <xf numFmtId="0" fontId="55" fillId="34" borderId="5" xfId="24" applyFont="1" applyFill="1" applyBorder="1" applyAlignment="1">
      <alignment horizontal="left" vertical="center" wrapText="1" indent="1"/>
    </xf>
    <xf numFmtId="0" fontId="55" fillId="5" borderId="5" xfId="24" applyFont="1" applyFill="1" applyBorder="1" applyAlignment="1">
      <alignment horizontal="left" vertical="center" wrapText="1" indent="1"/>
    </xf>
    <xf numFmtId="0" fontId="55" fillId="35" borderId="5" xfId="24" applyFont="1" applyFill="1" applyBorder="1" applyAlignment="1">
      <alignment horizontal="left" vertical="center" wrapText="1" indent="1"/>
    </xf>
    <xf numFmtId="0" fontId="5" fillId="33" borderId="5" xfId="24" applyFont="1" applyFill="1" applyBorder="1" applyAlignment="1">
      <alignment horizontal="center" vertical="center"/>
    </xf>
    <xf numFmtId="0" fontId="31" fillId="36" borderId="5" xfId="24" applyFont="1" applyFill="1" applyBorder="1" applyAlignment="1">
      <alignment horizontal="center" vertical="center"/>
    </xf>
    <xf numFmtId="0" fontId="5" fillId="36" borderId="5" xfId="24" applyFont="1" applyFill="1" applyBorder="1" applyAlignment="1">
      <alignment horizontal="center" vertical="center"/>
    </xf>
    <xf numFmtId="0" fontId="31" fillId="21" borderId="5" xfId="24" applyFont="1" applyFill="1" applyBorder="1" applyAlignment="1">
      <alignment horizontal="center" vertical="center"/>
    </xf>
    <xf numFmtId="0" fontId="5" fillId="0" borderId="5" xfId="24" applyFont="1" applyBorder="1" applyAlignment="1">
      <alignment horizontal="center" vertical="center"/>
    </xf>
    <xf numFmtId="0" fontId="36" fillId="0" borderId="1" xfId="24" applyFont="1" applyBorder="1"/>
    <xf numFmtId="0" fontId="55" fillId="37" borderId="5" xfId="24" applyFont="1" applyFill="1" applyBorder="1" applyAlignment="1">
      <alignment horizontal="left" vertical="center" indent="1"/>
    </xf>
    <xf numFmtId="0" fontId="55" fillId="38" borderId="5" xfId="24" applyFont="1" applyFill="1" applyBorder="1" applyAlignment="1">
      <alignment horizontal="left" vertical="center" wrapText="1" indent="1"/>
    </xf>
    <xf numFmtId="0" fontId="55" fillId="39" borderId="5" xfId="24" applyFont="1" applyFill="1" applyBorder="1" applyAlignment="1">
      <alignment horizontal="left" vertical="center" wrapText="1" indent="1"/>
    </xf>
    <xf numFmtId="0" fontId="55" fillId="40" borderId="5" xfId="24" applyFont="1" applyFill="1" applyBorder="1" applyAlignment="1">
      <alignment horizontal="left" vertical="center" wrapText="1" indent="1"/>
    </xf>
    <xf numFmtId="0" fontId="55" fillId="41" borderId="5" xfId="24" applyFont="1" applyFill="1" applyBorder="1" applyAlignment="1">
      <alignment horizontal="left" vertical="center" indent="1"/>
    </xf>
    <xf numFmtId="0" fontId="55" fillId="11" borderId="5" xfId="24" applyFont="1" applyFill="1" applyBorder="1" applyAlignment="1">
      <alignment horizontal="left" vertical="center" indent="1"/>
    </xf>
    <xf numFmtId="0" fontId="56" fillId="42" borderId="5" xfId="24" applyFont="1" applyFill="1" applyBorder="1" applyAlignment="1">
      <alignment horizontal="left" vertical="center" wrapText="1" indent="1"/>
    </xf>
    <xf numFmtId="0" fontId="28" fillId="6" borderId="0" xfId="24" applyFont="1" applyFill="1"/>
    <xf numFmtId="0" fontId="27" fillId="6" borderId="0" xfId="24" applyFont="1" applyFill="1"/>
    <xf numFmtId="0" fontId="1" fillId="0" borderId="0" xfId="24" applyFont="1"/>
    <xf numFmtId="0" fontId="7" fillId="12" borderId="5" xfId="3" applyFont="1" applyFill="1" applyBorder="1" applyAlignment="1" applyProtection="1">
      <alignment horizontal="center"/>
    </xf>
    <xf numFmtId="0" fontId="6" fillId="0" borderId="5" xfId="3" applyFont="1" applyBorder="1" applyAlignment="1" applyProtection="1">
      <alignment horizontal="center"/>
    </xf>
    <xf numFmtId="0" fontId="7" fillId="12" borderId="5" xfId="3" applyFont="1" applyFill="1" applyBorder="1" applyAlignment="1" applyProtection="1">
      <alignment horizontal="center" vertical="center" wrapText="1"/>
    </xf>
    <xf numFmtId="0" fontId="6" fillId="0" borderId="5" xfId="3" applyFont="1" applyBorder="1" applyAlignment="1" applyProtection="1">
      <alignment horizontal="center" vertical="center"/>
    </xf>
    <xf numFmtId="0" fontId="6" fillId="5" borderId="37" xfId="3" applyFont="1" applyFill="1" applyBorder="1" applyAlignment="1" applyProtection="1">
      <alignment horizontal="center"/>
    </xf>
    <xf numFmtId="0" fontId="5" fillId="12" borderId="5" xfId="3" applyFont="1" applyFill="1" applyBorder="1" applyAlignment="1" applyProtection="1">
      <alignment horizontal="center"/>
    </xf>
    <xf numFmtId="0" fontId="7" fillId="12" borderId="5" xfId="3" applyFont="1" applyFill="1" applyBorder="1" applyProtection="1"/>
    <xf numFmtId="0" fontId="7" fillId="0" borderId="0" xfId="3" applyFont="1" applyAlignment="1" applyProtection="1">
      <alignment horizontal="center"/>
    </xf>
    <xf numFmtId="0" fontId="6" fillId="5" borderId="19" xfId="3" applyFont="1" applyFill="1" applyBorder="1" applyProtection="1"/>
    <xf numFmtId="0" fontId="6" fillId="5" borderId="25" xfId="3" applyFont="1" applyFill="1" applyBorder="1" applyProtection="1"/>
    <xf numFmtId="0" fontId="6" fillId="5" borderId="20" xfId="3" applyFont="1" applyFill="1" applyBorder="1" applyProtection="1"/>
    <xf numFmtId="0" fontId="6" fillId="12" borderId="21" xfId="3" applyFont="1" applyFill="1" applyBorder="1" applyProtection="1"/>
    <xf numFmtId="0" fontId="6" fillId="12" borderId="23" xfId="3" applyFont="1" applyFill="1" applyBorder="1" applyProtection="1"/>
    <xf numFmtId="1" fontId="57" fillId="12" borderId="0" xfId="1" applyNumberFormat="1" applyFont="1" applyFill="1" applyAlignment="1" applyProtection="1">
      <alignment horizontal="center" vertical="center"/>
    </xf>
    <xf numFmtId="0" fontId="30" fillId="12" borderId="7" xfId="1" applyFont="1" applyFill="1" applyBorder="1" applyAlignment="1" applyProtection="1">
      <alignment horizontal="center" textRotation="90"/>
    </xf>
    <xf numFmtId="0" fontId="30" fillId="12" borderId="11" xfId="1" applyFont="1" applyFill="1" applyBorder="1" applyAlignment="1" applyProtection="1">
      <alignment horizontal="center" textRotation="90"/>
    </xf>
    <xf numFmtId="0" fontId="41" fillId="6" borderId="5" xfId="10" applyFont="1" applyFill="1" applyBorder="1" applyAlignment="1">
      <alignment horizontal="center"/>
    </xf>
    <xf numFmtId="0" fontId="27" fillId="0" borderId="5" xfId="24" applyFont="1" applyBorder="1" applyAlignment="1">
      <alignment horizontal="center" vertical="center" wrapText="1"/>
    </xf>
    <xf numFmtId="0" fontId="10" fillId="0" borderId="5" xfId="3" quotePrefix="1" applyFont="1" applyBorder="1" applyAlignment="1" applyProtection="1">
      <alignment horizontal="center" vertical="center"/>
    </xf>
    <xf numFmtId="0" fontId="27" fillId="0" borderId="5" xfId="24" applyFont="1" applyBorder="1" applyAlignment="1">
      <alignment horizontal="center" vertical="center"/>
    </xf>
    <xf numFmtId="0" fontId="6" fillId="5" borderId="2" xfId="3" applyFont="1" applyFill="1" applyBorder="1" applyAlignment="1" applyProtection="1">
      <alignment horizontal="center"/>
    </xf>
    <xf numFmtId="0" fontId="6" fillId="5" borderId="3" xfId="3" applyFont="1" applyFill="1" applyBorder="1" applyAlignment="1" applyProtection="1">
      <alignment horizontal="center"/>
    </xf>
    <xf numFmtId="0" fontId="0" fillId="0" borderId="0" xfId="0" applyAlignment="1"/>
    <xf numFmtId="166" fontId="32" fillId="0" borderId="0" xfId="4" applyNumberFormat="1" applyFont="1" applyAlignment="1" applyProtection="1">
      <alignment horizontal="left" vertical="center"/>
      <protection hidden="1"/>
    </xf>
    <xf numFmtId="166" fontId="33" fillId="0" borderId="0" xfId="4" applyNumberFormat="1" applyFont="1" applyAlignment="1" applyProtection="1">
      <alignment horizontal="left" vertical="center"/>
      <protection hidden="1"/>
    </xf>
    <xf numFmtId="166" fontId="34" fillId="0" borderId="0" xfId="0" applyNumberFormat="1" applyFont="1" applyAlignment="1" applyProtection="1">
      <alignment vertical="center"/>
      <protection hidden="1"/>
    </xf>
    <xf numFmtId="164" fontId="6" fillId="10" borderId="5" xfId="1" applyNumberFormat="1" applyFont="1" applyFill="1" applyBorder="1" applyProtection="1"/>
    <xf numFmtId="164" fontId="15" fillId="14" borderId="5" xfId="1" applyNumberFormat="1" applyFont="1" applyFill="1" applyBorder="1" applyAlignment="1" applyProtection="1">
      <alignment horizontal="left" vertical="center"/>
    </xf>
    <xf numFmtId="164" fontId="6" fillId="3" borderId="5" xfId="1" applyNumberFormat="1" applyFont="1" applyFill="1" applyBorder="1" applyProtection="1"/>
    <xf numFmtId="165" fontId="26" fillId="12" borderId="0" xfId="1" applyNumberFormat="1" applyFont="1" applyFill="1" applyAlignment="1" applyProtection="1">
      <alignment horizontal="center" vertical="center"/>
    </xf>
    <xf numFmtId="165" fontId="7" fillId="0" borderId="5" xfId="1" applyNumberFormat="1" applyFont="1" applyBorder="1" applyAlignment="1" applyProtection="1">
      <alignment horizontal="center" vertical="center"/>
    </xf>
    <xf numFmtId="165" fontId="26" fillId="0" borderId="5" xfId="1" applyNumberFormat="1" applyFont="1" applyBorder="1" applyAlignment="1" applyProtection="1">
      <alignment horizontal="center" vertical="center"/>
    </xf>
    <xf numFmtId="165" fontId="7" fillId="7" borderId="5" xfId="1" applyNumberFormat="1" applyFont="1" applyFill="1" applyBorder="1" applyAlignment="1" applyProtection="1">
      <alignment horizontal="center" vertical="center"/>
    </xf>
    <xf numFmtId="167" fontId="5" fillId="0" borderId="5" xfId="10" applyNumberFormat="1" applyFont="1" applyBorder="1" applyAlignment="1"/>
    <xf numFmtId="0" fontId="27" fillId="0" borderId="0" xfId="0" applyFont="1" applyAlignment="1" applyProtection="1">
      <alignment horizontal="left"/>
      <protection locked="0"/>
    </xf>
    <xf numFmtId="0" fontId="14" fillId="0" borderId="0" xfId="0" applyFont="1" applyAlignment="1" applyProtection="1">
      <alignment horizontal="left"/>
      <protection locked="0"/>
    </xf>
    <xf numFmtId="0" fontId="58" fillId="2" borderId="7" xfId="0" applyFont="1" applyFill="1" applyBorder="1" applyAlignment="1" applyProtection="1">
      <alignment horizontal="left"/>
      <protection locked="0"/>
    </xf>
    <xf numFmtId="0" fontId="58" fillId="0" borderId="7" xfId="0" applyFont="1" applyBorder="1" applyAlignment="1" applyProtection="1">
      <alignment horizontal="left"/>
      <protection locked="0"/>
    </xf>
    <xf numFmtId="166" fontId="58" fillId="2" borderId="7" xfId="0" applyNumberFormat="1" applyFont="1" applyFill="1" applyBorder="1" applyAlignment="1" applyProtection="1">
      <alignment horizontal="left"/>
      <protection locked="0"/>
    </xf>
    <xf numFmtId="1" fontId="58" fillId="0" borderId="7" xfId="0" applyNumberFormat="1" applyFont="1" applyBorder="1" applyAlignment="1" applyProtection="1">
      <alignment horizontal="left"/>
      <protection locked="0"/>
    </xf>
    <xf numFmtId="166" fontId="58" fillId="8" borderId="7" xfId="0" applyNumberFormat="1" applyFont="1" applyFill="1" applyBorder="1" applyAlignment="1" applyProtection="1">
      <alignment horizontal="left"/>
      <protection locked="0"/>
    </xf>
    <xf numFmtId="166" fontId="31" fillId="8" borderId="0" xfId="0" applyNumberFormat="1" applyFont="1" applyFill="1" applyAlignment="1" applyProtection="1">
      <alignment horizontal="left"/>
      <protection locked="0"/>
    </xf>
    <xf numFmtId="0" fontId="31" fillId="8" borderId="0" xfId="0" applyFont="1" applyFill="1" applyAlignment="1" applyProtection="1">
      <alignment horizontal="left"/>
      <protection locked="0"/>
    </xf>
    <xf numFmtId="0" fontId="31" fillId="0" borderId="0" xfId="0" applyFont="1" applyAlignment="1" applyProtection="1">
      <alignment horizontal="left"/>
      <protection locked="0"/>
    </xf>
    <xf numFmtId="0" fontId="16" fillId="0" borderId="7" xfId="0" applyFont="1" applyBorder="1" applyAlignment="1" applyProtection="1">
      <alignment horizontal="left"/>
      <protection locked="0"/>
    </xf>
    <xf numFmtId="0" fontId="4" fillId="11" borderId="7" xfId="0" applyFont="1" applyFill="1" applyBorder="1" applyAlignment="1" applyProtection="1">
      <alignment horizontal="left"/>
      <protection locked="0"/>
    </xf>
    <xf numFmtId="0" fontId="16" fillId="11" borderId="7" xfId="0" applyFont="1" applyFill="1" applyBorder="1" applyAlignment="1" applyProtection="1">
      <alignment horizontal="left"/>
      <protection locked="0"/>
    </xf>
    <xf numFmtId="0" fontId="59" fillId="11" borderId="7" xfId="0" applyFont="1" applyFill="1" applyBorder="1" applyAlignment="1" applyProtection="1">
      <alignment horizontal="left"/>
      <protection locked="0"/>
    </xf>
    <xf numFmtId="1" fontId="59" fillId="0" borderId="7" xfId="0" applyNumberFormat="1" applyFont="1" applyBorder="1" applyAlignment="1" applyProtection="1">
      <alignment horizontal="left"/>
      <protection locked="0"/>
    </xf>
    <xf numFmtId="168" fontId="21" fillId="10" borderId="7" xfId="0" applyNumberFormat="1" applyFont="1" applyFill="1" applyBorder="1" applyAlignment="1">
      <alignment horizontal="center" vertical="center" textRotation="90" wrapText="1"/>
    </xf>
    <xf numFmtId="168" fontId="60" fillId="10" borderId="7" xfId="0" applyNumberFormat="1" applyFont="1" applyFill="1" applyBorder="1" applyAlignment="1">
      <alignment horizontal="center" vertical="center" textRotation="90" wrapText="1"/>
    </xf>
    <xf numFmtId="168" fontId="14" fillId="6" borderId="7" xfId="0" applyNumberFormat="1" applyFont="1" applyFill="1" applyBorder="1" applyAlignment="1">
      <alignment horizontal="center" vertical="center" textRotation="90" wrapText="1"/>
    </xf>
    <xf numFmtId="168" fontId="14" fillId="0" borderId="7" xfId="0" applyNumberFormat="1" applyFont="1" applyBorder="1" applyAlignment="1">
      <alignment horizontal="center" vertical="center" textRotation="90" wrapText="1"/>
    </xf>
    <xf numFmtId="168" fontId="21" fillId="23" borderId="7" xfId="0" applyNumberFormat="1" applyFont="1" applyFill="1" applyBorder="1" applyAlignment="1">
      <alignment horizontal="center" vertical="center" textRotation="90" wrapText="1"/>
    </xf>
    <xf numFmtId="168" fontId="21" fillId="0" borderId="38" xfId="0" applyNumberFormat="1" applyFont="1" applyBorder="1" applyAlignment="1">
      <alignment horizontal="center" vertical="center" textRotation="90" wrapText="1"/>
    </xf>
    <xf numFmtId="169" fontId="16" fillId="11" borderId="38" xfId="0" applyNumberFormat="1" applyFont="1" applyFill="1" applyBorder="1" applyAlignment="1" applyProtection="1">
      <alignment horizontal="left"/>
      <protection locked="0"/>
    </xf>
    <xf numFmtId="1" fontId="16" fillId="0" borderId="38" xfId="0" applyNumberFormat="1" applyFont="1" applyBorder="1" applyAlignment="1" applyProtection="1">
      <alignment horizontal="left"/>
      <protection locked="0"/>
    </xf>
    <xf numFmtId="0" fontId="58" fillId="21" borderId="7" xfId="0" applyFont="1" applyFill="1" applyBorder="1" applyAlignment="1" applyProtection="1">
      <alignment horizontal="left" textRotation="90"/>
      <protection locked="0"/>
    </xf>
    <xf numFmtId="0" fontId="58" fillId="21" borderId="7" xfId="0" applyFont="1" applyFill="1" applyBorder="1" applyAlignment="1" applyProtection="1">
      <alignment horizontal="left"/>
      <protection locked="0"/>
    </xf>
    <xf numFmtId="2" fontId="31" fillId="21" borderId="0" xfId="0" applyNumberFormat="1" applyFont="1" applyFill="1" applyAlignment="1" applyProtection="1">
      <alignment vertical="center"/>
      <protection locked="0"/>
    </xf>
    <xf numFmtId="0" fontId="16" fillId="6" borderId="7" xfId="0" applyFont="1" applyFill="1" applyBorder="1" applyAlignment="1" applyProtection="1">
      <alignment horizontal="left"/>
      <protection locked="0"/>
    </xf>
    <xf numFmtId="0" fontId="16" fillId="43" borderId="7" xfId="0" applyFont="1" applyFill="1" applyBorder="1" applyAlignment="1" applyProtection="1">
      <alignment horizontal="left"/>
      <protection locked="0"/>
    </xf>
    <xf numFmtId="0" fontId="16" fillId="0" borderId="0" xfId="0" applyFont="1" applyAlignment="1" applyProtection="1">
      <alignment horizontal="left"/>
      <protection locked="0"/>
    </xf>
    <xf numFmtId="0" fontId="35" fillId="2" borderId="0" xfId="0" applyFont="1" applyFill="1" applyAlignment="1" applyProtection="1">
      <alignment horizontal="left"/>
      <protection locked="0"/>
    </xf>
    <xf numFmtId="0" fontId="35" fillId="4" borderId="0" xfId="0" applyFont="1" applyFill="1" applyAlignment="1" applyProtection="1">
      <alignment horizontal="left"/>
      <protection locked="0"/>
    </xf>
    <xf numFmtId="0" fontId="14" fillId="5" borderId="0" xfId="0" applyFont="1" applyFill="1" applyAlignment="1" applyProtection="1">
      <alignment horizontal="left"/>
      <protection locked="0"/>
    </xf>
    <xf numFmtId="165" fontId="30" fillId="6" borderId="5" xfId="1" applyNumberFormat="1" applyFont="1" applyFill="1" applyBorder="1" applyAlignment="1" applyProtection="1">
      <alignment horizontal="center" textRotation="90"/>
    </xf>
    <xf numFmtId="0" fontId="0" fillId="0" borderId="11" xfId="0" applyBorder="1" applyAlignment="1"/>
    <xf numFmtId="0" fontId="0" fillId="0" borderId="14" xfId="0" applyBorder="1" applyAlignment="1"/>
    <xf numFmtId="0" fontId="7" fillId="18" borderId="5" xfId="1" applyFont="1" applyFill="1" applyBorder="1" applyAlignment="1" applyProtection="1">
      <alignment horizontal="center" textRotation="90"/>
    </xf>
    <xf numFmtId="0" fontId="22" fillId="0" borderId="5" xfId="1" applyFont="1" applyBorder="1" applyAlignment="1" applyProtection="1">
      <alignment horizontal="center" textRotation="90"/>
    </xf>
    <xf numFmtId="165" fontId="30" fillId="0" borderId="5" xfId="1" applyNumberFormat="1" applyFont="1" applyBorder="1" applyAlignment="1" applyProtection="1">
      <alignment horizontal="center" textRotation="90"/>
    </xf>
    <xf numFmtId="1" fontId="0" fillId="0" borderId="5" xfId="0" applyNumberFormat="1" applyBorder="1" applyAlignment="1">
      <alignment horizontal="center"/>
    </xf>
    <xf numFmtId="0" fontId="0" fillId="0" borderId="4" xfId="0" applyBorder="1" applyAlignment="1"/>
    <xf numFmtId="0" fontId="29" fillId="5" borderId="0" xfId="1" applyFont="1" applyFill="1" applyAlignment="1" applyProtection="1">
      <alignment horizontal="center" vertical="center" wrapText="1"/>
    </xf>
    <xf numFmtId="0" fontId="5" fillId="0" borderId="0" xfId="1" applyFont="1" applyProtection="1"/>
    <xf numFmtId="0" fontId="30" fillId="5" borderId="0" xfId="1" applyFont="1" applyFill="1" applyAlignment="1" applyProtection="1">
      <alignment horizontal="center" textRotation="90"/>
    </xf>
    <xf numFmtId="165" fontId="30" fillId="5" borderId="5" xfId="1" applyNumberFormat="1" applyFont="1" applyFill="1" applyBorder="1" applyAlignment="1" applyProtection="1">
      <alignment horizontal="center" textRotation="90"/>
    </xf>
    <xf numFmtId="0" fontId="15" fillId="3" borderId="5" xfId="1" applyFont="1" applyFill="1" applyBorder="1" applyAlignment="1" applyProtection="1">
      <alignment horizontal="center"/>
    </xf>
    <xf numFmtId="0" fontId="15" fillId="0" borderId="5" xfId="1" applyFont="1" applyBorder="1" applyAlignment="1" applyProtection="1">
      <alignment horizontal="center"/>
    </xf>
    <xf numFmtId="0" fontId="0" fillId="0" borderId="3" xfId="0" applyBorder="1" applyAlignment="1"/>
    <xf numFmtId="0" fontId="7" fillId="5" borderId="5" xfId="1" applyFont="1" applyFill="1" applyBorder="1" applyAlignment="1" applyProtection="1">
      <alignment horizontal="center" textRotation="90"/>
    </xf>
    <xf numFmtId="0" fontId="36" fillId="0" borderId="5" xfId="1" applyFont="1" applyBorder="1" applyAlignment="1" applyProtection="1">
      <alignment horizontal="center" vertical="center"/>
    </xf>
    <xf numFmtId="0" fontId="30" fillId="4" borderId="5" xfId="1" applyFont="1" applyFill="1" applyBorder="1" applyAlignment="1" applyProtection="1">
      <alignment horizontal="center" textRotation="90" wrapText="1"/>
    </xf>
    <xf numFmtId="0" fontId="36" fillId="0" borderId="5" xfId="1" applyFont="1" applyBorder="1" applyAlignment="1" applyProtection="1">
      <alignment horizontal="center"/>
    </xf>
    <xf numFmtId="165" fontId="30" fillId="4" borderId="5" xfId="1" applyNumberFormat="1" applyFont="1" applyFill="1" applyBorder="1" applyAlignment="1" applyProtection="1">
      <alignment horizontal="center" textRotation="90"/>
    </xf>
    <xf numFmtId="0" fontId="15" fillId="0" borderId="5" xfId="1" applyFont="1" applyBorder="1" applyAlignment="1" applyProtection="1">
      <alignment horizontal="center" vertical="center"/>
    </xf>
    <xf numFmtId="0" fontId="36" fillId="6" borderId="5" xfId="1" applyFont="1" applyFill="1" applyBorder="1" applyAlignment="1" applyProtection="1">
      <alignment horizontal="center" vertical="center"/>
    </xf>
    <xf numFmtId="15" fontId="18" fillId="0" borderId="1" xfId="1" applyNumberFormat="1" applyFont="1" applyBorder="1" applyAlignment="1" applyProtection="1">
      <alignment horizontal="center" vertical="center"/>
    </xf>
    <xf numFmtId="0" fontId="0" fillId="0" borderId="1" xfId="0" applyBorder="1" applyAlignment="1"/>
    <xf numFmtId="0" fontId="29" fillId="23" borderId="0" xfId="1" applyFont="1" applyFill="1" applyAlignment="1" applyProtection="1">
      <alignment horizontal="center" vertical="center" wrapText="1"/>
    </xf>
    <xf numFmtId="0" fontId="15" fillId="13" borderId="5" xfId="1" applyFont="1" applyFill="1" applyBorder="1" applyAlignment="1" applyProtection="1">
      <alignment horizontal="center"/>
    </xf>
    <xf numFmtId="0" fontId="23" fillId="2" borderId="5" xfId="1" applyFont="1" applyFill="1" applyBorder="1" applyAlignment="1" applyProtection="1">
      <alignment horizontal="center"/>
    </xf>
    <xf numFmtId="0" fontId="7" fillId="17" borderId="5" xfId="1" applyFont="1" applyFill="1" applyBorder="1" applyAlignment="1" applyProtection="1">
      <alignment horizontal="center" textRotation="90"/>
    </xf>
    <xf numFmtId="0" fontId="7" fillId="0" borderId="5" xfId="1" applyFont="1" applyBorder="1" applyAlignment="1" applyProtection="1">
      <alignment horizontal="center" textRotation="90"/>
    </xf>
    <xf numFmtId="0" fontId="30" fillId="12" borderId="5" xfId="1" applyFont="1" applyFill="1" applyBorder="1" applyAlignment="1" applyProtection="1">
      <alignment horizontal="center" textRotation="90"/>
    </xf>
    <xf numFmtId="0" fontId="30" fillId="6" borderId="5" xfId="1" applyFont="1" applyFill="1" applyBorder="1" applyAlignment="1" applyProtection="1">
      <alignment horizontal="center" textRotation="90"/>
    </xf>
    <xf numFmtId="0" fontId="30" fillId="23" borderId="0" xfId="1" applyFont="1" applyFill="1" applyAlignment="1" applyProtection="1">
      <alignment horizontal="center" textRotation="90"/>
    </xf>
    <xf numFmtId="0" fontId="22" fillId="5" borderId="5" xfId="1" applyFont="1" applyFill="1" applyBorder="1" applyAlignment="1" applyProtection="1">
      <alignment horizontal="center" textRotation="90"/>
    </xf>
    <xf numFmtId="165" fontId="30" fillId="23" borderId="5" xfId="1" applyNumberFormat="1" applyFont="1" applyFill="1" applyBorder="1" applyAlignment="1" applyProtection="1">
      <alignment horizontal="center" textRotation="90"/>
    </xf>
    <xf numFmtId="0" fontId="15" fillId="15" borderId="5" xfId="1" applyFont="1" applyFill="1" applyBorder="1" applyAlignment="1" applyProtection="1">
      <alignment horizontal="center"/>
    </xf>
    <xf numFmtId="0" fontId="30" fillId="12" borderId="5" xfId="1" applyFont="1" applyFill="1" applyBorder="1" applyAlignment="1" applyProtection="1">
      <alignment horizontal="center" vertical="center" wrapText="1"/>
    </xf>
    <xf numFmtId="0" fontId="30" fillId="0" borderId="5" xfId="1" applyFont="1" applyBorder="1" applyAlignment="1" applyProtection="1">
      <alignment horizontal="center" textRotation="90"/>
    </xf>
    <xf numFmtId="0" fontId="22" fillId="12" borderId="5" xfId="1" applyFont="1" applyFill="1" applyBorder="1" applyAlignment="1" applyProtection="1">
      <alignment horizontal="center" textRotation="90"/>
    </xf>
    <xf numFmtId="0" fontId="22" fillId="19" borderId="5" xfId="1" applyFont="1" applyFill="1" applyBorder="1" applyAlignment="1" applyProtection="1">
      <alignment horizontal="center" textRotation="90"/>
    </xf>
    <xf numFmtId="0" fontId="5" fillId="0" borderId="39" xfId="1" applyFont="1" applyBorder="1" applyAlignment="1" applyProtection="1">
      <alignment horizontal="justify" vertical="top"/>
    </xf>
    <xf numFmtId="0" fontId="0" fillId="0" borderId="27" xfId="0" applyBorder="1" applyAlignment="1"/>
    <xf numFmtId="0" fontId="0" fillId="0" borderId="28" xfId="0" applyBorder="1" applyAlignment="1"/>
    <xf numFmtId="0" fontId="0" fillId="0" borderId="29" xfId="0" applyBorder="1" applyAlignment="1"/>
    <xf numFmtId="0" fontId="0" fillId="0" borderId="30" xfId="0" applyBorder="1" applyAlignment="1"/>
    <xf numFmtId="0" fontId="0" fillId="0" borderId="31" xfId="0" applyBorder="1" applyAlignment="1"/>
    <xf numFmtId="0" fontId="0" fillId="0" borderId="32" xfId="0" applyBorder="1" applyAlignment="1"/>
    <xf numFmtId="0" fontId="0" fillId="0" borderId="33" xfId="0" applyBorder="1" applyAlignment="1"/>
    <xf numFmtId="165" fontId="30" fillId="12" borderId="5" xfId="1" applyNumberFormat="1" applyFont="1" applyFill="1" applyBorder="1" applyAlignment="1" applyProtection="1">
      <alignment horizontal="center" textRotation="90"/>
    </xf>
    <xf numFmtId="0" fontId="22" fillId="6" borderId="5" xfId="1" applyFont="1" applyFill="1" applyBorder="1" applyAlignment="1" applyProtection="1">
      <alignment horizontal="center" textRotation="90"/>
    </xf>
    <xf numFmtId="0" fontId="42" fillId="6" borderId="35" xfId="10" applyFont="1" applyFill="1" applyBorder="1" applyAlignment="1">
      <alignment horizontal="center" vertical="center"/>
    </xf>
    <xf numFmtId="0" fontId="0" fillId="0" borderId="34" xfId="0" applyBorder="1" applyAlignment="1"/>
    <xf numFmtId="0" fontId="40" fillId="25" borderId="0" xfId="10" applyFont="1" applyFill="1" applyAlignment="1">
      <alignment horizontal="center"/>
    </xf>
    <xf numFmtId="0" fontId="3" fillId="0" borderId="0" xfId="13" applyFont="1"/>
    <xf numFmtId="0" fontId="41" fillId="22" borderId="5" xfId="10" applyFont="1" applyFill="1" applyBorder="1" applyAlignment="1">
      <alignment horizontal="center"/>
    </xf>
    <xf numFmtId="0" fontId="41" fillId="6" borderId="5" xfId="10" applyFont="1" applyFill="1" applyBorder="1" applyAlignment="1">
      <alignment horizontal="center"/>
    </xf>
    <xf numFmtId="0" fontId="41" fillId="4" borderId="5" xfId="10" applyFont="1" applyFill="1" applyBorder="1" applyAlignment="1">
      <alignment horizontal="center"/>
    </xf>
    <xf numFmtId="0" fontId="42" fillId="22" borderId="34" xfId="10" applyFont="1" applyFill="1" applyBorder="1" applyAlignment="1">
      <alignment horizontal="center" vertical="center" wrapText="1"/>
    </xf>
    <xf numFmtId="0" fontId="42" fillId="22" borderId="5" xfId="10" applyFont="1" applyFill="1" applyBorder="1" applyAlignment="1">
      <alignment horizontal="center" vertical="center"/>
    </xf>
    <xf numFmtId="0" fontId="7" fillId="0" borderId="5" xfId="3" applyFont="1" applyBorder="1" applyAlignment="1" applyProtection="1">
      <alignment horizontal="left" vertical="top" wrapText="1"/>
    </xf>
    <xf numFmtId="0" fontId="27" fillId="0" borderId="5" xfId="24" applyFont="1" applyBorder="1" applyAlignment="1">
      <alignment horizontal="center" vertical="center" wrapText="1"/>
    </xf>
    <xf numFmtId="0" fontId="10" fillId="0" borderId="5" xfId="3" quotePrefix="1" applyFont="1" applyBorder="1" applyAlignment="1" applyProtection="1">
      <alignment horizontal="center" vertical="center"/>
    </xf>
    <xf numFmtId="0" fontId="27" fillId="0" borderId="5" xfId="24" applyFont="1" applyBorder="1" applyAlignment="1">
      <alignment horizontal="center" vertical="center"/>
    </xf>
    <xf numFmtId="0" fontId="12" fillId="0" borderId="0" xfId="3" applyFont="1" applyAlignment="1" applyProtection="1">
      <alignment horizontal="center" vertical="center"/>
    </xf>
    <xf numFmtId="0" fontId="5" fillId="0" borderId="0" xfId="3" applyFont="1" applyProtection="1"/>
    <xf numFmtId="0" fontId="6" fillId="5" borderId="18" xfId="3" applyFont="1" applyFill="1" applyBorder="1" applyAlignment="1" applyProtection="1">
      <alignment horizontal="center"/>
    </xf>
    <xf numFmtId="0" fontId="0" fillId="0" borderId="40" xfId="0" applyBorder="1" applyAlignment="1"/>
    <xf numFmtId="0" fontId="10" fillId="0" borderId="5" xfId="3" applyFont="1" applyBorder="1" applyAlignment="1" applyProtection="1">
      <alignment horizontal="center" vertical="center"/>
    </xf>
    <xf numFmtId="0" fontId="6" fillId="5" borderId="5" xfId="3" applyFont="1" applyFill="1" applyBorder="1" applyAlignment="1" applyProtection="1">
      <alignment horizontal="center"/>
    </xf>
    <xf numFmtId="0" fontId="7" fillId="0" borderId="5" xfId="3" applyFont="1" applyBorder="1" applyAlignment="1" applyProtection="1">
      <alignment vertical="top" wrapText="1"/>
    </xf>
    <xf numFmtId="0" fontId="10" fillId="0" borderId="7" xfId="3" applyFont="1" applyBorder="1" applyAlignment="1" applyProtection="1">
      <alignment horizontal="center" vertical="center"/>
    </xf>
    <xf numFmtId="0" fontId="7" fillId="0" borderId="5" xfId="3" applyFont="1" applyBorder="1" applyAlignment="1" applyProtection="1">
      <alignment horizontal="center" vertical="center"/>
    </xf>
    <xf numFmtId="0" fontId="28" fillId="0" borderId="0" xfId="24" applyFont="1" applyAlignment="1">
      <alignment horizontal="left" vertical="center"/>
    </xf>
    <xf numFmtId="0" fontId="27" fillId="0" borderId="0" xfId="24" applyFont="1"/>
    <xf numFmtId="0" fontId="7" fillId="0" borderId="5" xfId="3" applyFont="1" applyBorder="1" applyAlignment="1" applyProtection="1">
      <alignment horizontal="center" vertical="top" wrapText="1"/>
    </xf>
    <xf numFmtId="0" fontId="28" fillId="0" borderId="1" xfId="24" applyFont="1" applyBorder="1" applyAlignment="1">
      <alignment horizontal="left" wrapText="1"/>
    </xf>
    <xf numFmtId="0" fontId="10" fillId="0" borderId="7" xfId="3" applyFont="1" applyBorder="1" applyAlignment="1" applyProtection="1">
      <alignment horizontal="center" vertical="center" wrapText="1"/>
    </xf>
    <xf numFmtId="0" fontId="7" fillId="0" borderId="5" xfId="3" applyFont="1" applyBorder="1" applyAlignment="1" applyProtection="1">
      <alignment wrapText="1"/>
    </xf>
    <xf numFmtId="0" fontId="6" fillId="5" borderId="41" xfId="3" applyFont="1" applyFill="1" applyBorder="1" applyAlignment="1" applyProtection="1">
      <alignment horizontal="center" vertical="center" wrapText="1"/>
    </xf>
    <xf numFmtId="0" fontId="0" fillId="0" borderId="10" xfId="0" applyBorder="1" applyAlignment="1"/>
    <xf numFmtId="0" fontId="0" fillId="0" borderId="12" xfId="0" applyBorder="1" applyAlignment="1"/>
    <xf numFmtId="0" fontId="0" fillId="0" borderId="13" xfId="0" applyBorder="1" applyAlignment="1"/>
    <xf numFmtId="0" fontId="8" fillId="0" borderId="0" xfId="3" applyFont="1" applyAlignment="1" applyProtection="1">
      <alignment horizontal="center"/>
    </xf>
    <xf numFmtId="0" fontId="13" fillId="0" borderId="0" xfId="3" applyFont="1" applyAlignment="1" applyProtection="1">
      <alignment horizontal="left" vertical="center"/>
    </xf>
  </cellXfs>
  <cellStyles count="25">
    <cellStyle name="Normal" xfId="0" builtinId="0"/>
    <cellStyle name="Normal 2" xfId="1" xr:uid="{00000000-0005-0000-0000-000001000000}"/>
    <cellStyle name="Normal 2 2" xfId="3" xr:uid="{00000000-0005-0000-0000-000003000000}"/>
    <cellStyle name="Normal 2 2 2" xfId="5" xr:uid="{00000000-0005-0000-0000-000005000000}"/>
    <cellStyle name="Normal 2 2 3" xfId="14" xr:uid="{00000000-0005-0000-0000-00000E000000}"/>
    <cellStyle name="Normal 2 3" xfId="9" xr:uid="{00000000-0005-0000-0000-000009000000}"/>
    <cellStyle name="Normal 3" xfId="4" xr:uid="{00000000-0005-0000-0000-000004000000}"/>
    <cellStyle name="Normal 3 2" xfId="10" xr:uid="{00000000-0005-0000-0000-00000A000000}"/>
    <cellStyle name="Normal 4" xfId="11" xr:uid="{00000000-0005-0000-0000-00000B000000}"/>
    <cellStyle name="Normal 4 2" xfId="2" xr:uid="{00000000-0005-0000-0000-000002000000}"/>
    <cellStyle name="Normal 4 2 2" xfId="8" xr:uid="{00000000-0005-0000-0000-000008000000}"/>
    <cellStyle name="Normal 4 3" xfId="12" xr:uid="{00000000-0005-0000-0000-00000C000000}"/>
    <cellStyle name="Normal 4 3 2" xfId="16" xr:uid="{00000000-0005-0000-0000-000010000000}"/>
    <cellStyle name="Normal 4 3 2 2" xfId="22" xr:uid="{00000000-0005-0000-0000-000016000000}"/>
    <cellStyle name="Normal 4 3 3" xfId="19" xr:uid="{00000000-0005-0000-0000-000013000000}"/>
    <cellStyle name="Normal 4 4" xfId="15" xr:uid="{00000000-0005-0000-0000-00000F000000}"/>
    <cellStyle name="Normal 4 4 2" xfId="21" xr:uid="{00000000-0005-0000-0000-000015000000}"/>
    <cellStyle name="Normal 4 5" xfId="18" xr:uid="{00000000-0005-0000-0000-000012000000}"/>
    <cellStyle name="Normal 5" xfId="7" xr:uid="{00000000-0005-0000-0000-000007000000}"/>
    <cellStyle name="Normal 6" xfId="13" xr:uid="{00000000-0005-0000-0000-00000D000000}"/>
    <cellStyle name="Normal 6 2" xfId="17" xr:uid="{00000000-0005-0000-0000-000011000000}"/>
    <cellStyle name="Normal 6 2 2" xfId="23" xr:uid="{00000000-0005-0000-0000-000017000000}"/>
    <cellStyle name="Normal 6 3" xfId="20" xr:uid="{00000000-0005-0000-0000-000014000000}"/>
    <cellStyle name="Normal 7" xfId="24" xr:uid="{00000000-0005-0000-0000-000018000000}"/>
    <cellStyle name="Normal 8" xfId="6" xr:uid="{00000000-0005-0000-0000-000006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28575</xdr:colOff>
      <xdr:row>3</xdr:row>
      <xdr:rowOff>57152</xdr:rowOff>
    </xdr:from>
    <xdr:to>
      <xdr:col>14</xdr:col>
      <xdr:colOff>615496</xdr:colOff>
      <xdr:row>17</xdr:row>
      <xdr:rowOff>64373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9286875" y="914402"/>
          <a:ext cx="3634921" cy="26742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14</xdr:col>
      <xdr:colOff>659710</xdr:colOff>
      <xdr:row>3</xdr:row>
      <xdr:rowOff>38100</xdr:rowOff>
    </xdr:from>
    <xdr:to>
      <xdr:col>19</xdr:col>
      <xdr:colOff>657370</xdr:colOff>
      <xdr:row>17</xdr:row>
      <xdr:rowOff>145774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/>
        <a:stretch>
          <a:fillRect/>
        </a:stretch>
      </xdr:blipFill>
      <xdr:spPr>
        <a:xfrm>
          <a:off x="12966010" y="895350"/>
          <a:ext cx="4064835" cy="277467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43071</xdr:colOff>
      <xdr:row>18</xdr:row>
      <xdr:rowOff>15322</xdr:rowOff>
    </xdr:from>
    <xdr:to>
      <xdr:col>14</xdr:col>
      <xdr:colOff>689114</xdr:colOff>
      <xdr:row>31</xdr:row>
      <xdr:rowOff>4789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/>
        <a:stretch>
          <a:fillRect/>
        </a:stretch>
      </xdr:blipFill>
      <xdr:spPr>
        <a:xfrm>
          <a:off x="9301371" y="3730072"/>
          <a:ext cx="3694043" cy="246596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206585</xdr:colOff>
      <xdr:row>121</xdr:row>
      <xdr:rowOff>26780</xdr:rowOff>
    </xdr:from>
    <xdr:to>
      <xdr:col>12</xdr:col>
      <xdr:colOff>766412</xdr:colOff>
      <xdr:row>127</xdr:row>
      <xdr:rowOff>13683</xdr:rowOff>
    </xdr:to>
    <xdr:pic>
      <xdr:nvPicPr>
        <xdr:cNvPr id="2" name="Picture 2" descr=" 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email"/>
        <a:srcRect/>
        <a:stretch>
          <a:fillRect/>
        </a:stretch>
      </xdr:blipFill>
      <xdr:spPr>
        <a:xfrm>
          <a:off x="9496635" y="23712280"/>
          <a:ext cx="5100077" cy="939403"/>
        </a:xfrm>
        <a:prstGeom prst="rect">
          <a:avLst/>
        </a:prstGeom>
        <a:noFill/>
        <a:ln w="6350" cap="flat" cmpd="sng">
          <a:solidFill>
            <a:srgbClr val="000000"/>
          </a:solidFill>
          <a:prstDash val="solid"/>
        </a:ln>
      </xdr:spPr>
    </xdr:pic>
    <xdr:clientData/>
  </xdr:twoCellAnchor>
  <xdr:twoCellAnchor>
    <xdr:from>
      <xdr:col>0</xdr:col>
      <xdr:colOff>682625</xdr:colOff>
      <xdr:row>131</xdr:row>
      <xdr:rowOff>30434</xdr:rowOff>
    </xdr:from>
    <xdr:to>
      <xdr:col>3</xdr:col>
      <xdr:colOff>407459</xdr:colOff>
      <xdr:row>149</xdr:row>
      <xdr:rowOff>141201</xdr:rowOff>
    </xdr:to>
    <xdr:pic>
      <xdr:nvPicPr>
        <xdr:cNvPr id="4" name="Picture 1" descr=" 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2" cstate="email"/>
        <a:srcRect/>
        <a:stretch>
          <a:fillRect/>
        </a:stretch>
      </xdr:blipFill>
      <xdr:spPr>
        <a:xfrm>
          <a:off x="682625" y="25309784"/>
          <a:ext cx="3274484" cy="2968267"/>
        </a:xfrm>
        <a:prstGeom prst="rect">
          <a:avLst/>
        </a:prstGeom>
        <a:noFill/>
        <a:ln w="9525" cap="flat" cmpd="sng">
          <a:noFill/>
          <a:prstDash val="solid"/>
        </a:ln>
      </xdr:spPr>
    </xdr:pic>
    <xdr:clientData/>
  </xdr:twoCellAnchor>
  <xdr:twoCellAnchor>
    <xdr:from>
      <xdr:col>3</xdr:col>
      <xdr:colOff>497416</xdr:colOff>
      <xdr:row>131</xdr:row>
      <xdr:rowOff>31750</xdr:rowOff>
    </xdr:from>
    <xdr:to>
      <xdr:col>5</xdr:col>
      <xdr:colOff>1703915</xdr:colOff>
      <xdr:row>149</xdr:row>
      <xdr:rowOff>97789</xdr:rowOff>
    </xdr:to>
    <xdr:pic>
      <xdr:nvPicPr>
        <xdr:cNvPr id="5" name="Picture 1" descr=" 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3" cstate="email"/>
        <a:srcRect/>
        <a:stretch>
          <a:fillRect/>
        </a:stretch>
      </xdr:blipFill>
      <xdr:spPr>
        <a:xfrm>
          <a:off x="4047066" y="25311100"/>
          <a:ext cx="2800349" cy="2923539"/>
        </a:xfrm>
        <a:prstGeom prst="rect">
          <a:avLst/>
        </a:prstGeom>
        <a:noFill/>
        <a:ln w="9525" cap="flat" cmpd="sng">
          <a:noFill/>
          <a:prstDash val="solid"/>
        </a:ln>
      </xdr:spPr>
    </xdr:pic>
    <xdr:clientData/>
  </xdr:twoCellAnchor>
  <xdr:twoCellAnchor>
    <xdr:from>
      <xdr:col>2</xdr:col>
      <xdr:colOff>698501</xdr:colOff>
      <xdr:row>170</xdr:row>
      <xdr:rowOff>31133</xdr:rowOff>
    </xdr:from>
    <xdr:to>
      <xdr:col>3</xdr:col>
      <xdr:colOff>767292</xdr:colOff>
      <xdr:row>182</xdr:row>
      <xdr:rowOff>26458</xdr:rowOff>
    </xdr:to>
    <xdr:pic>
      <xdr:nvPicPr>
        <xdr:cNvPr id="6" name="3 Imagen" descr=" 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4" cstate="hqprint"/>
        <a:srcRect/>
        <a:stretch>
          <a:fillRect/>
        </a:stretch>
      </xdr:blipFill>
      <xdr:spPr>
        <a:xfrm>
          <a:off x="2908301" y="31539833"/>
          <a:ext cx="1408641" cy="1900325"/>
        </a:xfrm>
        <a:prstGeom prst="rect">
          <a:avLst/>
        </a:prstGeom>
        <a:noFill/>
        <a:ln w="3175" cap="flat" cmpd="sng">
          <a:solidFill>
            <a:srgbClr val="000000"/>
          </a:solidFill>
          <a:prstDash val="solid"/>
        </a:ln>
      </xdr:spPr>
    </xdr:pic>
    <xdr:clientData/>
  </xdr:twoCellAnchor>
  <xdr:twoCellAnchor>
    <xdr:from>
      <xdr:col>4</xdr:col>
      <xdr:colOff>777727</xdr:colOff>
      <xdr:row>165</xdr:row>
      <xdr:rowOff>42334</xdr:rowOff>
    </xdr:from>
    <xdr:to>
      <xdr:col>5</xdr:col>
      <xdr:colOff>1405983</xdr:colOff>
      <xdr:row>167</xdr:row>
      <xdr:rowOff>118295</xdr:rowOff>
    </xdr:to>
    <xdr:pic>
      <xdr:nvPicPr>
        <xdr:cNvPr id="7" name="4 Imagen" descr=" 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5" cstate="email"/>
        <a:srcRect/>
        <a:stretch>
          <a:fillRect/>
        </a:stretch>
      </xdr:blipFill>
      <xdr:spPr>
        <a:xfrm>
          <a:off x="5127477" y="30757284"/>
          <a:ext cx="1422006" cy="393461"/>
        </a:xfrm>
        <a:prstGeom prst="rect">
          <a:avLst/>
        </a:prstGeom>
        <a:noFill/>
        <a:ln w="9525" cap="flat" cmpd="sng">
          <a:noFill/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MyFolder\LasBambas\DataSondaje\Ferrobamba\DATA_FE39575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ite%20Field%20Check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rk.sharepoint.com/Users/rchucos/OneDrive%20-%20SRK%20Consulting/Desktop/MEMO%20-%20FEHI24-XXX/FEHI24-014/info%20FEHI24-014%20(21-06-2024)/Campo_LG_FEHI24-01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mamani\AppData\Local\Microsoft\Windows\Temporary%20Internet%20Files\Content.Outlook\6QCT0AE0\Test%20Hole%20Log%20Form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QA-QC%20FEHI24-007\Campo_LG_FEHI24-00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MyFolder\LasBambas\DataSondaje\Chalcobamba\DATA_CH43650_1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EOTECNIA/Downloads/QAQC_LG_COMPILADO_LARGOS_Rev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NTAMINA%202019-II\A3606\Registro%20Geotecnico%20Roca%20A3606_8-08-2019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rk.sharepoint.com/Users/HP1/Desktop/QAQC_LG_FEGT23-001_Re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llarInfo"/>
      <sheetName val="Interval_Log"/>
      <sheetName val="Geology_Log"/>
      <sheetName val="Vein_Log"/>
      <sheetName val="Structure_Log"/>
      <sheetName val="Sample_Ledger"/>
      <sheetName val="Inserts"/>
      <sheetName val="Duplicates"/>
      <sheetName val="Standards"/>
      <sheetName val="Analysis"/>
      <sheetName val="Dens_Dry"/>
      <sheetName val="Dens_Wax"/>
      <sheetName val="Geotech"/>
      <sheetName val="Survey"/>
      <sheetName val="XCodes"/>
      <sheetName val="DataCollar"/>
      <sheetName val="DataBatch"/>
      <sheetName val="Leyen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 t="str">
            <v>AN</v>
          </cell>
          <cell r="C2" t="str">
            <v>AN</v>
          </cell>
          <cell r="L2" t="str">
            <v>BC</v>
          </cell>
          <cell r="R2" t="str">
            <v>F</v>
          </cell>
          <cell r="U2" t="str">
            <v>MA</v>
          </cell>
          <cell r="AV2" t="str">
            <v>BED</v>
          </cell>
          <cell r="AY2" t="str">
            <v>AP</v>
          </cell>
        </row>
        <row r="3">
          <cell r="A3" t="str">
            <v>CHL</v>
          </cell>
          <cell r="C3" t="str">
            <v>BX</v>
          </cell>
          <cell r="L3" t="str">
            <v>BL</v>
          </cell>
          <cell r="R3" t="str">
            <v>M</v>
          </cell>
          <cell r="U3" t="str">
            <v>LM</v>
          </cell>
          <cell r="AV3" t="str">
            <v>CON</v>
          </cell>
          <cell r="AY3" t="str">
            <v>BE</v>
          </cell>
        </row>
        <row r="4">
          <cell r="A4" t="str">
            <v>DI</v>
          </cell>
          <cell r="C4" t="str">
            <v>CHL</v>
          </cell>
          <cell r="L4" t="str">
            <v>BW</v>
          </cell>
          <cell r="R4" t="str">
            <v>C</v>
          </cell>
          <cell r="U4" t="str">
            <v>DM</v>
          </cell>
          <cell r="AV4" t="str">
            <v>FLF</v>
          </cell>
          <cell r="AY4" t="str">
            <v>BX</v>
          </cell>
        </row>
        <row r="5">
          <cell r="A5" t="str">
            <v>GD</v>
          </cell>
          <cell r="C5" t="str">
            <v>DI</v>
          </cell>
          <cell r="L5" t="str">
            <v>GN</v>
          </cell>
          <cell r="U5" t="str">
            <v>VE</v>
          </cell>
          <cell r="AV5" t="str">
            <v>FLG</v>
          </cell>
          <cell r="AY5" t="str">
            <v>EQ</v>
          </cell>
        </row>
        <row r="6">
          <cell r="A6" t="str">
            <v>GDB</v>
          </cell>
          <cell r="C6" t="str">
            <v>EEP</v>
          </cell>
          <cell r="L6" t="str">
            <v>GY</v>
          </cell>
          <cell r="AV6" t="str">
            <v>FLZ</v>
          </cell>
          <cell r="AY6" t="str">
            <v>GR</v>
          </cell>
        </row>
        <row r="7">
          <cell r="A7" t="str">
            <v>GDH</v>
          </cell>
          <cell r="C7" t="str">
            <v>EGT</v>
          </cell>
          <cell r="L7" t="str">
            <v>OR</v>
          </cell>
          <cell r="AV7" t="str">
            <v>FRC</v>
          </cell>
          <cell r="AY7" t="str">
            <v>LM</v>
          </cell>
        </row>
        <row r="8">
          <cell r="A8" t="str">
            <v>HBX</v>
          </cell>
          <cell r="C8" t="str">
            <v>EPG</v>
          </cell>
          <cell r="L8" t="str">
            <v>PI</v>
          </cell>
          <cell r="AV8" t="str">
            <v>LAM</v>
          </cell>
          <cell r="AY8" t="str">
            <v>MA</v>
          </cell>
        </row>
        <row r="9">
          <cell r="A9" t="str">
            <v>HP</v>
          </cell>
          <cell r="C9" t="str">
            <v>ESK</v>
          </cell>
          <cell r="L9" t="str">
            <v>RD</v>
          </cell>
          <cell r="AV9" t="str">
            <v>SLK</v>
          </cell>
          <cell r="AY9" t="str">
            <v>PO</v>
          </cell>
        </row>
        <row r="10">
          <cell r="A10" t="str">
            <v>LA</v>
          </cell>
          <cell r="C10" t="str">
            <v>GD</v>
          </cell>
          <cell r="L10" t="str">
            <v>WH</v>
          </cell>
          <cell r="AV10" t="str">
            <v>STY</v>
          </cell>
        </row>
        <row r="11">
          <cell r="A11" t="str">
            <v>LMT</v>
          </cell>
          <cell r="C11" t="str">
            <v>GSK</v>
          </cell>
          <cell r="L11" t="str">
            <v>YE</v>
          </cell>
        </row>
        <row r="12">
          <cell r="A12" t="str">
            <v>MBF1</v>
          </cell>
          <cell r="C12" t="str">
            <v>HFL</v>
          </cell>
        </row>
        <row r="13">
          <cell r="A13" t="str">
            <v>MBF2</v>
          </cell>
          <cell r="C13" t="str">
            <v>LA</v>
          </cell>
        </row>
        <row r="14">
          <cell r="A14" t="str">
            <v>MBX</v>
          </cell>
          <cell r="C14" t="str">
            <v>LMT</v>
          </cell>
        </row>
        <row r="15">
          <cell r="A15" t="str">
            <v>MZB</v>
          </cell>
          <cell r="C15" t="str">
            <v>MBC</v>
          </cell>
        </row>
        <row r="16">
          <cell r="A16" t="str">
            <v>MZH</v>
          </cell>
          <cell r="C16" t="str">
            <v>MBF</v>
          </cell>
        </row>
        <row r="17">
          <cell r="A17" t="str">
            <v>MZM</v>
          </cell>
          <cell r="C17" t="str">
            <v>MBL</v>
          </cell>
        </row>
        <row r="18">
          <cell r="A18" t="str">
            <v>MZQ</v>
          </cell>
          <cell r="C18" t="str">
            <v>MSK</v>
          </cell>
        </row>
        <row r="19">
          <cell r="A19" t="str">
            <v>NR</v>
          </cell>
          <cell r="C19" t="str">
            <v>MZB</v>
          </cell>
        </row>
        <row r="20">
          <cell r="A20" t="str">
            <v>PBX</v>
          </cell>
          <cell r="C20" t="str">
            <v>MZH</v>
          </cell>
        </row>
        <row r="21">
          <cell r="A21" t="str">
            <v>QFL</v>
          </cell>
          <cell r="C21" t="str">
            <v>MZM</v>
          </cell>
        </row>
        <row r="22">
          <cell r="A22" t="str">
            <v>QFP</v>
          </cell>
          <cell r="C22" t="str">
            <v>MZQ</v>
          </cell>
        </row>
        <row r="23">
          <cell r="A23" t="str">
            <v>QFS</v>
          </cell>
          <cell r="C23" t="str">
            <v>NR</v>
          </cell>
        </row>
        <row r="24">
          <cell r="A24" t="str">
            <v>QT</v>
          </cell>
          <cell r="C24" t="str">
            <v>PSK</v>
          </cell>
        </row>
        <row r="25">
          <cell r="A25" t="str">
            <v>SBX</v>
          </cell>
          <cell r="C25" t="str">
            <v>QFP</v>
          </cell>
        </row>
        <row r="26">
          <cell r="A26" t="str">
            <v>SHL</v>
          </cell>
          <cell r="C26" t="str">
            <v>QT</v>
          </cell>
        </row>
        <row r="27">
          <cell r="A27" t="str">
            <v>SND</v>
          </cell>
          <cell r="C27" t="str">
            <v>QTZ</v>
          </cell>
        </row>
        <row r="28">
          <cell r="A28" t="str">
            <v>TBX</v>
          </cell>
          <cell r="C28" t="str">
            <v>SHL</v>
          </cell>
        </row>
        <row r="29">
          <cell r="C29" t="str">
            <v>SND</v>
          </cell>
        </row>
      </sheetData>
      <sheetData sheetId="15"/>
      <sheetData sheetId="16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eld Drill Site Check"/>
      <sheetName val="Status"/>
      <sheetName val="26Aug-changes"/>
      <sheetName val="Sheet2"/>
      <sheetName val="As-built"/>
      <sheetName val="Nomenclatura_2018"/>
    </sheetNames>
    <sheetDataSet>
      <sheetData sheetId="0">
        <row r="2">
          <cell r="E2">
            <v>1.6476000000002387</v>
          </cell>
          <cell r="F2">
            <v>0.693000000000211</v>
          </cell>
          <cell r="G2" t="str">
            <v>SH11-AD</v>
          </cell>
          <cell r="H2">
            <v>120</v>
          </cell>
        </row>
        <row r="3">
          <cell r="E3">
            <v>1.9686000000001513</v>
          </cell>
          <cell r="F3">
            <v>0.57359999999971478</v>
          </cell>
          <cell r="G3" t="str">
            <v>SH11-BC</v>
          </cell>
          <cell r="H3">
            <v>110</v>
          </cell>
        </row>
        <row r="4">
          <cell r="E4">
            <v>1.934400000000096</v>
          </cell>
          <cell r="F4">
            <v>0.4025999999994383</v>
          </cell>
          <cell r="G4" t="str">
            <v>SH11-AQ</v>
          </cell>
          <cell r="H4">
            <v>95</v>
          </cell>
        </row>
        <row r="5">
          <cell r="E5">
            <v>2.2313999999987573</v>
          </cell>
          <cell r="F5">
            <v>0.22919999999976426</v>
          </cell>
          <cell r="G5" t="str">
            <v>SH11-AZ</v>
          </cell>
          <cell r="H5">
            <v>125</v>
          </cell>
        </row>
        <row r="6">
          <cell r="E6">
            <v>1.6872000000003027</v>
          </cell>
          <cell r="F6">
            <v>0.10800000000017462</v>
          </cell>
          <cell r="G6" t="str">
            <v>SH11-AC</v>
          </cell>
          <cell r="H6">
            <v>95</v>
          </cell>
        </row>
        <row r="7">
          <cell r="E7">
            <v>1.6541999999990367</v>
          </cell>
          <cell r="F7">
            <v>0.27840000000014697</v>
          </cell>
          <cell r="G7" t="str">
            <v>SH11-AF</v>
          </cell>
          <cell r="H7">
            <v>55</v>
          </cell>
        </row>
        <row r="8">
          <cell r="E8">
            <v>0.75540000000000873</v>
          </cell>
          <cell r="F8">
            <v>0.40020000000004075</v>
          </cell>
          <cell r="G8" t="str">
            <v>SH11-AV</v>
          </cell>
          <cell r="H8">
            <v>75</v>
          </cell>
        </row>
        <row r="9">
          <cell r="E9">
            <v>1.0565999999998894</v>
          </cell>
          <cell r="F9">
            <v>0.23399999999946886</v>
          </cell>
          <cell r="G9" t="str">
            <v>SH11-AG</v>
          </cell>
          <cell r="H9">
            <v>105</v>
          </cell>
        </row>
        <row r="10">
          <cell r="E10">
            <v>0.82200000000011642</v>
          </cell>
          <cell r="F10">
            <v>0.13500000000021828</v>
          </cell>
          <cell r="G10" t="str">
            <v>SH11-AH</v>
          </cell>
          <cell r="H10">
            <v>75</v>
          </cell>
        </row>
        <row r="11">
          <cell r="E11">
            <v>1.1759999999994761</v>
          </cell>
          <cell r="F11">
            <v>1.4220000000022992E-2</v>
          </cell>
          <cell r="G11" t="str">
            <v>SH11-AK</v>
          </cell>
          <cell r="H11">
            <v>85</v>
          </cell>
        </row>
        <row r="12">
          <cell r="E12">
            <v>0.70679999999993015</v>
          </cell>
          <cell r="F12">
            <v>9.9000000000160071E-2</v>
          </cell>
          <cell r="G12" t="str">
            <v>SH11-AL</v>
          </cell>
          <cell r="H12">
            <v>95</v>
          </cell>
        </row>
        <row r="13">
          <cell r="E13">
            <v>0.25019999999858555</v>
          </cell>
          <cell r="F13">
            <v>0.24240000000008877</v>
          </cell>
          <cell r="G13" t="str">
            <v>SH11-AI</v>
          </cell>
          <cell r="H13">
            <v>50</v>
          </cell>
        </row>
        <row r="14">
          <cell r="E14">
            <v>1.8000000000029104E-3</v>
          </cell>
          <cell r="F14">
            <v>1.1999999996987754E-3</v>
          </cell>
          <cell r="G14" t="str">
            <v>SH11-AJ</v>
          </cell>
          <cell r="H14">
            <v>100</v>
          </cell>
        </row>
        <row r="15">
          <cell r="E15">
            <v>0.21720000000095752</v>
          </cell>
          <cell r="F15">
            <v>0.11160000000018044</v>
          </cell>
          <cell r="G15" t="str">
            <v>SH11-AM</v>
          </cell>
          <cell r="H15">
            <v>100</v>
          </cell>
        </row>
        <row r="16">
          <cell r="E16">
            <v>0.72000000000116415</v>
          </cell>
          <cell r="F16">
            <v>0.12840000000051077</v>
          </cell>
          <cell r="G16" t="str">
            <v>SH11-AN</v>
          </cell>
          <cell r="H16">
            <v>135</v>
          </cell>
        </row>
        <row r="17">
          <cell r="E17">
            <v>1.3872000000010303</v>
          </cell>
          <cell r="F17">
            <v>5.2799999999479041E-2</v>
          </cell>
          <cell r="G17" t="str">
            <v>SH11-AO</v>
          </cell>
          <cell r="H17">
            <v>135</v>
          </cell>
        </row>
        <row r="18">
          <cell r="E18">
            <v>1.6098000000001775</v>
          </cell>
          <cell r="F18">
            <v>0.18959999999970023</v>
          </cell>
          <cell r="G18" t="str">
            <v>SH11-AP</v>
          </cell>
          <cell r="H18">
            <v>135</v>
          </cell>
        </row>
        <row r="19">
          <cell r="E19">
            <v>1.245600000000195</v>
          </cell>
          <cell r="F19">
            <v>0.27840000000014697</v>
          </cell>
          <cell r="G19" t="str">
            <v>SH11-AS</v>
          </cell>
          <cell r="H19">
            <v>145</v>
          </cell>
        </row>
        <row r="20">
          <cell r="E20">
            <v>1.6056000000007771</v>
          </cell>
          <cell r="F20">
            <v>0.4841999999998734</v>
          </cell>
          <cell r="G20" t="str">
            <v>SH11-AR</v>
          </cell>
          <cell r="H20">
            <v>70</v>
          </cell>
        </row>
        <row r="21">
          <cell r="E21">
            <v>1.8786000000000058</v>
          </cell>
          <cell r="F21">
            <v>0.22780000000057044</v>
          </cell>
          <cell r="G21" t="str">
            <v>SH11-AY</v>
          </cell>
          <cell r="H21">
            <v>55</v>
          </cell>
        </row>
        <row r="22">
          <cell r="E22">
            <v>1.2198000000007596</v>
          </cell>
          <cell r="F22">
            <v>0.62039999999979045</v>
          </cell>
          <cell r="G22" t="str">
            <v>SH11-AX</v>
          </cell>
          <cell r="H22">
            <v>60</v>
          </cell>
        </row>
        <row r="23">
          <cell r="E23">
            <v>0.46560000000135915</v>
          </cell>
          <cell r="F23">
            <v>0.42479999999977736</v>
          </cell>
          <cell r="G23" t="str">
            <v>SH11-AT</v>
          </cell>
          <cell r="H23">
            <v>115</v>
          </cell>
        </row>
        <row r="24">
          <cell r="E24">
            <v>9.7200000000157161E-2</v>
          </cell>
          <cell r="F24">
            <v>0.52620000000024447</v>
          </cell>
          <cell r="G24" t="str">
            <v>SH11-AU</v>
          </cell>
          <cell r="H24">
            <v>25</v>
          </cell>
        </row>
        <row r="25">
          <cell r="E25">
            <v>0.18480000000090513</v>
          </cell>
          <cell r="F25">
            <v>0.60599999999976717</v>
          </cell>
          <cell r="G25" t="str">
            <v>SH11-CE</v>
          </cell>
          <cell r="H25">
            <v>140</v>
          </cell>
        </row>
        <row r="26">
          <cell r="E26">
            <v>9.2400000001362059E-2</v>
          </cell>
          <cell r="F26">
            <v>0.76980000000003201</v>
          </cell>
          <cell r="G26" t="str">
            <v>SH11-BA</v>
          </cell>
          <cell r="H26">
            <v>95</v>
          </cell>
        </row>
        <row r="27">
          <cell r="E27">
            <v>0.13800000000082946</v>
          </cell>
          <cell r="F27">
            <v>1.0595999999995911</v>
          </cell>
          <cell r="G27" t="str">
            <v>SH11-BF</v>
          </cell>
          <cell r="H27">
            <v>90</v>
          </cell>
        </row>
        <row r="28">
          <cell r="E28">
            <v>0.56459999999970023</v>
          </cell>
          <cell r="F28">
            <v>0.69599999999991269</v>
          </cell>
          <cell r="G28" t="str">
            <v>SH11-AW</v>
          </cell>
          <cell r="H28">
            <v>185</v>
          </cell>
        </row>
        <row r="29">
          <cell r="E29">
            <v>0.93300000000090222</v>
          </cell>
          <cell r="F29">
            <v>0.8999999999996362</v>
          </cell>
          <cell r="G29" t="str">
            <v>SH11-BB</v>
          </cell>
          <cell r="H29">
            <v>80</v>
          </cell>
        </row>
        <row r="30">
          <cell r="E30">
            <v>0.98340000000098371</v>
          </cell>
          <cell r="F30">
            <v>1.0763999999999214</v>
          </cell>
          <cell r="G30" t="str">
            <v>SH11-BE</v>
          </cell>
          <cell r="H30">
            <v>120</v>
          </cell>
        </row>
        <row r="31">
          <cell r="E31">
            <v>1.3044000000008964</v>
          </cell>
          <cell r="F31">
            <v>1.1189999999996871</v>
          </cell>
          <cell r="G31" t="str">
            <v>SH11-BD</v>
          </cell>
          <cell r="H31">
            <v>130</v>
          </cell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G"/>
      <sheetName val="LG EST."/>
      <sheetName val="BD LGG"/>
      <sheetName val="Leyenda"/>
      <sheetName val="BD LG EST."/>
      <sheetName val="RMR76"/>
      <sheetName val="Litologia"/>
      <sheetName val="DATOS L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eld Sheet"/>
      <sheetName val="Hole ID"/>
      <sheetName val="Sheet2"/>
      <sheetName val="Sheet3"/>
    </sheetNames>
    <sheetDataSet>
      <sheetData sheetId="0"/>
      <sheetData sheetId="1">
        <row r="46">
          <cell r="O46" t="str">
            <v>Non-Plastic</v>
          </cell>
        </row>
        <row r="47">
          <cell r="H47" t="str">
            <v>Very loose</v>
          </cell>
          <cell r="I47" t="str">
            <v>soft</v>
          </cell>
          <cell r="N47" t="str">
            <v>Non-Plastic</v>
          </cell>
          <cell r="P47" t="str">
            <v>None</v>
          </cell>
        </row>
        <row r="48">
          <cell r="H48" t="str">
            <v>loose</v>
          </cell>
          <cell r="I48" t="str">
            <v>firm</v>
          </cell>
          <cell r="N48" t="str">
            <v>Low-Plasticity</v>
          </cell>
          <cell r="P48" t="str">
            <v>Slow</v>
          </cell>
        </row>
        <row r="49">
          <cell r="H49" t="str">
            <v>medium dense</v>
          </cell>
          <cell r="I49" t="str">
            <v>stiff</v>
          </cell>
          <cell r="N49" t="str">
            <v>Mid-Plasticity</v>
          </cell>
          <cell r="P49" t="str">
            <v>Rapid</v>
          </cell>
        </row>
        <row r="50">
          <cell r="H50" t="str">
            <v>very dense</v>
          </cell>
          <cell r="I50" t="str">
            <v>very stiff</v>
          </cell>
          <cell r="N50" t="str">
            <v>High-Plasticity</v>
          </cell>
        </row>
        <row r="51">
          <cell r="H51" t="str">
            <v>frozen</v>
          </cell>
          <cell r="I51" t="str">
            <v>Hard</v>
          </cell>
        </row>
        <row r="52">
          <cell r="I52" t="str">
            <v>frozen</v>
          </cell>
        </row>
      </sheetData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G"/>
      <sheetName val="LG EST."/>
      <sheetName val="BD LGG"/>
      <sheetName val="Leyenda"/>
      <sheetName val="BD LG EST."/>
      <sheetName val="RMR76"/>
      <sheetName val="DATOS LG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E4" t="str">
            <v>UWF</v>
          </cell>
        </row>
        <row r="5">
          <cell r="E5" t="str">
            <v>SWD</v>
          </cell>
        </row>
        <row r="6">
          <cell r="E6" t="str">
            <v>MWM</v>
          </cell>
        </row>
        <row r="7">
          <cell r="E7" t="str">
            <v>HWA</v>
          </cell>
        </row>
        <row r="8">
          <cell r="E8" t="str">
            <v>CWC</v>
          </cell>
        </row>
        <row r="9">
          <cell r="E9" t="str">
            <v>RS</v>
          </cell>
        </row>
        <row r="10">
          <cell r="E10">
            <v>-1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llarInfo"/>
      <sheetName val="Interval_Log"/>
      <sheetName val="Geology_Log"/>
      <sheetName val="Vein_Log"/>
      <sheetName val="Structure_Log"/>
      <sheetName val="Sample_Ledger"/>
      <sheetName val="Inserts"/>
      <sheetName val="Duplicates"/>
      <sheetName val="Standards"/>
      <sheetName val="Analysis"/>
      <sheetName val="Dens_Dry"/>
      <sheetName val="Dens_Wax"/>
      <sheetName val="Geotech"/>
      <sheetName val="Survey"/>
      <sheetName val="XCodes"/>
      <sheetName val="DataCollar"/>
      <sheetName val="DataBat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O2" t="str">
            <v>Abel Supo</v>
          </cell>
        </row>
        <row r="3">
          <cell r="O3" t="str">
            <v>Abelardo Suárez Rios</v>
          </cell>
        </row>
        <row r="4">
          <cell r="O4" t="str">
            <v>Alonso Gamero</v>
          </cell>
        </row>
        <row r="5">
          <cell r="O5" t="str">
            <v>Arturo Quispe</v>
          </cell>
        </row>
        <row r="6">
          <cell r="O6" t="str">
            <v>Augusta Berrio</v>
          </cell>
        </row>
        <row r="7">
          <cell r="O7" t="str">
            <v>Benjamin Mormontoy</v>
          </cell>
        </row>
        <row r="8">
          <cell r="O8" t="str">
            <v>David Angulo</v>
          </cell>
        </row>
        <row r="9">
          <cell r="O9" t="str">
            <v>Delfina Grovas</v>
          </cell>
        </row>
        <row r="10">
          <cell r="O10" t="str">
            <v xml:space="preserve">Elias Huillca </v>
          </cell>
        </row>
        <row r="11">
          <cell r="O11" t="str">
            <v>Enrique Vega</v>
          </cell>
        </row>
        <row r="12">
          <cell r="O12" t="str">
            <v>Estanislao Chiccaña</v>
          </cell>
        </row>
        <row r="13">
          <cell r="O13" t="str">
            <v>Eulogio Alccahua</v>
          </cell>
        </row>
        <row r="14">
          <cell r="O14" t="str">
            <v>Felimón Alccahua</v>
          </cell>
        </row>
        <row r="15">
          <cell r="O15" t="str">
            <v>Felipe Huamani</v>
          </cell>
        </row>
        <row r="16">
          <cell r="O16" t="str">
            <v>Felix Guillen Guillen</v>
          </cell>
        </row>
        <row r="17">
          <cell r="O17" t="str">
            <v>Florentino Huachaca</v>
          </cell>
        </row>
        <row r="18">
          <cell r="O18" t="str">
            <v>Helber Holguino</v>
          </cell>
        </row>
        <row r="19">
          <cell r="O19" t="str">
            <v>Herminia Lidia Huamani</v>
          </cell>
        </row>
        <row r="20">
          <cell r="O20" t="str">
            <v>Hernan Hurtado</v>
          </cell>
        </row>
        <row r="21">
          <cell r="O21" t="str">
            <v>Isabel Llicahua</v>
          </cell>
        </row>
        <row r="22">
          <cell r="O22" t="str">
            <v>Javier Huamani</v>
          </cell>
        </row>
        <row r="23">
          <cell r="O23" t="str">
            <v>Jerly Huillca Atanacio</v>
          </cell>
        </row>
        <row r="24">
          <cell r="O24" t="str">
            <v>Jorge Casaverde</v>
          </cell>
        </row>
        <row r="25">
          <cell r="O25" t="str">
            <v>Jorge Leon Pimentel</v>
          </cell>
        </row>
        <row r="26">
          <cell r="O26" t="str">
            <v>Jorge Sequeiros Rodriguez</v>
          </cell>
        </row>
        <row r="27">
          <cell r="O27" t="str">
            <v>Juan Fernandez</v>
          </cell>
        </row>
        <row r="28">
          <cell r="O28" t="str">
            <v>Julio Loayza M</v>
          </cell>
        </row>
        <row r="29">
          <cell r="O29" t="str">
            <v>Karina Schlamauss</v>
          </cell>
        </row>
        <row r="30">
          <cell r="O30" t="str">
            <v>Luis Palomino</v>
          </cell>
        </row>
        <row r="31">
          <cell r="O31" t="str">
            <v>Luis Quispe</v>
          </cell>
        </row>
        <row r="32">
          <cell r="O32" t="str">
            <v>Marino Hanampa</v>
          </cell>
        </row>
        <row r="33">
          <cell r="O33" t="str">
            <v>Marisol Lozano</v>
          </cell>
        </row>
        <row r="34">
          <cell r="O34" t="str">
            <v>Maritza Rodriguez</v>
          </cell>
        </row>
        <row r="35">
          <cell r="O35" t="str">
            <v>Mateo Jauja</v>
          </cell>
        </row>
        <row r="36">
          <cell r="O36" t="str">
            <v>Mateo Salas</v>
          </cell>
        </row>
        <row r="37">
          <cell r="O37" t="str">
            <v>Nelson Castro</v>
          </cell>
        </row>
        <row r="38">
          <cell r="O38" t="str">
            <v>Nicasio Huamani</v>
          </cell>
        </row>
        <row r="39">
          <cell r="O39" t="str">
            <v>Paulina Farfan</v>
          </cell>
        </row>
        <row r="40">
          <cell r="O40" t="str">
            <v>Porfirio Muñuz</v>
          </cell>
        </row>
        <row r="41">
          <cell r="O41" t="str">
            <v xml:space="preserve">Rene Samame Cutida </v>
          </cell>
        </row>
        <row r="42">
          <cell r="O42" t="str">
            <v>Ricardo Lazo</v>
          </cell>
        </row>
        <row r="43">
          <cell r="O43" t="str">
            <v>Roberto Ccoyure H</v>
          </cell>
        </row>
        <row r="44">
          <cell r="O44" t="str">
            <v>Roberto Solis</v>
          </cell>
        </row>
        <row r="45">
          <cell r="O45" t="str">
            <v>Ronal Puma Huillca</v>
          </cell>
        </row>
        <row r="46">
          <cell r="O46" t="str">
            <v>Rosalío Paniura</v>
          </cell>
        </row>
        <row r="47">
          <cell r="O47" t="str">
            <v>Roy Ccoropuna Huillca</v>
          </cell>
        </row>
        <row r="48">
          <cell r="O48" t="str">
            <v>Santos Escalante</v>
          </cell>
        </row>
        <row r="49">
          <cell r="O49" t="str">
            <v>Saturnino Puma</v>
          </cell>
        </row>
        <row r="50">
          <cell r="O50" t="str">
            <v>Saul Campos</v>
          </cell>
        </row>
        <row r="51">
          <cell r="O51" t="str">
            <v>Teodoro Nuñoncca</v>
          </cell>
        </row>
        <row r="52">
          <cell r="O52" t="str">
            <v>Valentín Vargas</v>
          </cell>
        </row>
        <row r="53">
          <cell r="O53" t="str">
            <v>Vicente Ochoa</v>
          </cell>
        </row>
        <row r="54">
          <cell r="O54" t="str">
            <v>Victor Ccoyure</v>
          </cell>
        </row>
        <row r="55">
          <cell r="O55" t="str">
            <v>Victor Lipa</v>
          </cell>
        </row>
        <row r="56">
          <cell r="O56" t="str">
            <v>Washington Larico</v>
          </cell>
        </row>
        <row r="57">
          <cell r="O57" t="str">
            <v>Wilber Puma</v>
          </cell>
        </row>
        <row r="58">
          <cell r="O58" t="str">
            <v>Wilmar Arcos</v>
          </cell>
        </row>
      </sheetData>
      <sheetData sheetId="15"/>
      <sheetData sheetId="1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GG"/>
      <sheetName val="LG EST."/>
      <sheetName val="Leyenda"/>
      <sheetName val="BD LGG"/>
      <sheetName val="BD LG EST."/>
      <sheetName val="Litologia"/>
      <sheetName val="Validación_Logueo"/>
      <sheetName val="RMR76"/>
      <sheetName val="ESQU_INSTA_Lhito"/>
      <sheetName val="DATOS LG"/>
      <sheetName val="Hoja1"/>
    </sheetNames>
    <sheetDataSet>
      <sheetData sheetId="0">
        <row r="6">
          <cell r="G6" t="str">
            <v>Longitud Recuperdada (m)</v>
          </cell>
        </row>
      </sheetData>
      <sheetData sheetId="1">
        <row r="7">
          <cell r="E7">
            <v>0</v>
          </cell>
        </row>
      </sheetData>
      <sheetData sheetId="2"/>
      <sheetData sheetId="3"/>
      <sheetData sheetId="4"/>
      <sheetData sheetId="5"/>
      <sheetData sheetId="6">
        <row r="2">
          <cell r="N2">
            <v>0</v>
          </cell>
        </row>
      </sheetData>
      <sheetData sheetId="7"/>
      <sheetData sheetId="8"/>
      <sheetData sheetId="9">
        <row r="4">
          <cell r="B4" t="str">
            <v>R0</v>
          </cell>
          <cell r="E4" t="str">
            <v>UWF</v>
          </cell>
          <cell r="I4" t="str">
            <v>AN</v>
          </cell>
        </row>
        <row r="5">
          <cell r="B5" t="str">
            <v>R1</v>
          </cell>
          <cell r="E5" t="str">
            <v>SWD</v>
          </cell>
          <cell r="I5" t="str">
            <v>BX</v>
          </cell>
        </row>
        <row r="6">
          <cell r="B6" t="str">
            <v>R2</v>
          </cell>
          <cell r="E6" t="str">
            <v>MWM</v>
          </cell>
          <cell r="I6" t="str">
            <v>CHL</v>
          </cell>
        </row>
        <row r="7">
          <cell r="B7" t="str">
            <v>R3</v>
          </cell>
          <cell r="E7" t="str">
            <v>HWA</v>
          </cell>
          <cell r="I7" t="str">
            <v>DI</v>
          </cell>
        </row>
        <row r="8">
          <cell r="B8" t="str">
            <v>R4</v>
          </cell>
          <cell r="E8" t="str">
            <v>CWC</v>
          </cell>
          <cell r="I8" t="str">
            <v>EEP</v>
          </cell>
        </row>
        <row r="9">
          <cell r="B9" t="str">
            <v>R5</v>
          </cell>
          <cell r="E9" t="str">
            <v>RS</v>
          </cell>
          <cell r="I9" t="str">
            <v>EGT</v>
          </cell>
        </row>
        <row r="10">
          <cell r="B10" t="str">
            <v>R6</v>
          </cell>
          <cell r="E10">
            <v>-1</v>
          </cell>
          <cell r="I10" t="str">
            <v>EPG</v>
          </cell>
        </row>
        <row r="11">
          <cell r="B11">
            <v>-1</v>
          </cell>
          <cell r="I11" t="str">
            <v>ESK</v>
          </cell>
        </row>
        <row r="12">
          <cell r="I12" t="str">
            <v>GD</v>
          </cell>
        </row>
        <row r="13">
          <cell r="I13" t="str">
            <v>GSK</v>
          </cell>
        </row>
        <row r="14">
          <cell r="I14" t="str">
            <v>HFL</v>
          </cell>
        </row>
        <row r="15">
          <cell r="I15" t="str">
            <v>LA</v>
          </cell>
        </row>
        <row r="16">
          <cell r="I16" t="str">
            <v>LMT</v>
          </cell>
        </row>
        <row r="17">
          <cell r="I17" t="str">
            <v>MBC</v>
          </cell>
        </row>
        <row r="18">
          <cell r="I18" t="str">
            <v>MBF</v>
          </cell>
        </row>
        <row r="19">
          <cell r="I19" t="str">
            <v>MBL</v>
          </cell>
        </row>
        <row r="20">
          <cell r="I20" t="str">
            <v>MSK</v>
          </cell>
        </row>
        <row r="21">
          <cell r="I21" t="str">
            <v>MZB</v>
          </cell>
        </row>
        <row r="22">
          <cell r="I22" t="str">
            <v>MZH</v>
          </cell>
        </row>
        <row r="23">
          <cell r="I23" t="str">
            <v>MZM</v>
          </cell>
        </row>
        <row r="24">
          <cell r="I24" t="str">
            <v>MZQ</v>
          </cell>
        </row>
        <row r="25">
          <cell r="I25" t="str">
            <v>NR</v>
          </cell>
        </row>
        <row r="26">
          <cell r="I26" t="str">
            <v>PSK</v>
          </cell>
        </row>
        <row r="27">
          <cell r="I27" t="str">
            <v>QFP</v>
          </cell>
        </row>
        <row r="28">
          <cell r="I28" t="str">
            <v>QFS</v>
          </cell>
        </row>
        <row r="29">
          <cell r="I29" t="str">
            <v>QT</v>
          </cell>
        </row>
        <row r="30">
          <cell r="I30" t="str">
            <v>QTZ</v>
          </cell>
        </row>
        <row r="31">
          <cell r="I31" t="str">
            <v>SHL</v>
          </cell>
        </row>
        <row r="32">
          <cell r="I32" t="str">
            <v>SND</v>
          </cell>
        </row>
        <row r="33">
          <cell r="I33">
            <v>-1</v>
          </cell>
        </row>
      </sheetData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 de control"/>
      <sheetName val="SG-T-03-Calculo"/>
      <sheetName val="SG-T-03 - IMPRESIÓN"/>
      <sheetName val="11"/>
      <sheetName val="Nomenclatura_2014"/>
      <sheetName val="Leyenda"/>
      <sheetName val="RQD Lookup"/>
      <sheetName val="Litología_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GG"/>
      <sheetName val="LG EST."/>
      <sheetName val="Leyenda"/>
      <sheetName val="BD LGG"/>
      <sheetName val="BD LG EST."/>
      <sheetName val="Litologia"/>
      <sheetName val="Validación_Logueo"/>
      <sheetName val="RMR76"/>
      <sheetName val="DATOS LG"/>
      <sheetName val="ESQU_INSTA_Lhi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B4" t="str">
            <v>R0</v>
          </cell>
        </row>
        <row r="5">
          <cell r="B5" t="str">
            <v>R1</v>
          </cell>
        </row>
        <row r="6">
          <cell r="B6" t="str">
            <v>R2</v>
          </cell>
        </row>
        <row r="7">
          <cell r="B7" t="str">
            <v>R3</v>
          </cell>
        </row>
        <row r="8">
          <cell r="B8" t="str">
            <v>R4</v>
          </cell>
        </row>
        <row r="9">
          <cell r="B9" t="str">
            <v>R5</v>
          </cell>
        </row>
        <row r="10">
          <cell r="B10" t="str">
            <v>R6</v>
          </cell>
        </row>
        <row r="11">
          <cell r="B11">
            <v>-1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Z31"/>
  <sheetViews>
    <sheetView showGridLines="0" tabSelected="1" zoomScale="130" zoomScaleNormal="130" zoomScaleSheetLayoutView="10" workbookViewId="0"/>
  </sheetViews>
  <sheetFormatPr baseColWidth="10" defaultColWidth="11.5703125" defaultRowHeight="12.75"/>
  <cols>
    <col min="1" max="1" width="3.7109375" style="20" customWidth="1"/>
    <col min="2" max="2" width="4.7109375" style="20" customWidth="1"/>
    <col min="3" max="3" width="6.7109375" style="20" customWidth="1"/>
    <col min="4" max="6" width="5.7109375" style="20" customWidth="1"/>
    <col min="7" max="7" width="9" style="20" customWidth="1"/>
    <col min="8" max="8" width="5.5703125" style="20" customWidth="1"/>
    <col min="9" max="10" width="6" style="20" customWidth="1"/>
    <col min="11" max="11" width="5.5703125" style="20" customWidth="1"/>
    <col min="12" max="13" width="4.28515625" style="20" customWidth="1"/>
    <col min="14" max="15" width="9.28515625" style="20" customWidth="1"/>
    <col min="16" max="17" width="4.7109375" style="20" customWidth="1"/>
    <col min="18" max="18" width="6.7109375" style="20" bestFit="1" customWidth="1"/>
    <col min="19" max="19" width="3.7109375" style="20" customWidth="1"/>
    <col min="20" max="20" width="9.5703125" style="20" customWidth="1"/>
    <col min="21" max="22" width="3.7109375" style="20" customWidth="1"/>
    <col min="23" max="28" width="3.42578125" style="20" customWidth="1"/>
    <col min="29" max="34" width="3.28515625" style="20" customWidth="1"/>
    <col min="35" max="35" width="3.5703125" style="174" customWidth="1"/>
    <col min="36" max="36" width="6.28515625" style="20" customWidth="1"/>
    <col min="37" max="37" width="7.5703125" style="20" customWidth="1"/>
    <col min="38" max="38" width="4.5703125" style="20" customWidth="1"/>
    <col min="39" max="39" width="6.28515625" style="20" customWidth="1"/>
    <col min="40" max="40" width="3.7109375" style="20" customWidth="1"/>
    <col min="41" max="42" width="4" style="20" customWidth="1"/>
    <col min="43" max="43" width="4.28515625" style="20" customWidth="1"/>
    <col min="44" max="46" width="4" style="20" customWidth="1"/>
    <col min="47" max="49" width="4.28515625" style="20" customWidth="1"/>
    <col min="50" max="51" width="5.42578125" style="20" customWidth="1"/>
    <col min="52" max="52" width="6.7109375" style="20" customWidth="1"/>
    <col min="53" max="54" width="5.7109375" style="20" customWidth="1"/>
    <col min="55" max="57" width="4.28515625" style="20" customWidth="1"/>
    <col min="58" max="64" width="4.28515625" style="20" hidden="1" customWidth="1"/>
    <col min="65" max="65" width="4.28515625" style="20" customWidth="1"/>
    <col min="66" max="70" width="2.7109375" style="20" customWidth="1"/>
    <col min="71" max="71" width="5.5703125" style="20" customWidth="1"/>
    <col min="72" max="72" width="25.28515625" style="20" customWidth="1"/>
    <col min="73" max="76" width="5.7109375" style="20" customWidth="1"/>
    <col min="77" max="77" width="5.7109375" style="19" customWidth="1"/>
    <col min="78" max="102" width="2.7109375" style="19" customWidth="1"/>
    <col min="103" max="156" width="11.5703125" style="19" customWidth="1"/>
    <col min="157" max="157" width="11.5703125" style="20" customWidth="1"/>
    <col min="158" max="16384" width="11.5703125" style="20"/>
  </cols>
  <sheetData>
    <row r="1" spans="1:156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V1" s="30"/>
      <c r="AW1" s="30"/>
      <c r="AX1" s="30"/>
      <c r="AY1" s="30"/>
      <c r="AZ1" s="31"/>
      <c r="BA1" s="31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</row>
    <row r="2" spans="1:156" ht="13.35" customHeight="1">
      <c r="A2" s="28"/>
      <c r="B2" s="28"/>
      <c r="C2" s="258"/>
      <c r="D2" s="258"/>
      <c r="E2" s="258"/>
      <c r="F2" s="259"/>
      <c r="G2" s="259"/>
      <c r="H2" s="260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J2" s="28"/>
      <c r="AK2" s="21"/>
      <c r="AL2" s="21"/>
      <c r="AM2" s="22"/>
      <c r="AN2" s="22"/>
      <c r="AO2" s="22"/>
      <c r="AP2" s="22"/>
      <c r="AQ2" s="22"/>
      <c r="AR2" s="22"/>
      <c r="AS2" s="22"/>
      <c r="AT2" s="22"/>
      <c r="AU2" s="23"/>
      <c r="AV2" s="23"/>
      <c r="AW2" s="22"/>
      <c r="AX2" s="22"/>
      <c r="AY2" s="22"/>
      <c r="AZ2" s="32"/>
      <c r="BA2" s="31"/>
      <c r="BB2" s="23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</row>
    <row r="3" spans="1:156" s="28" customFormat="1" ht="13.15" customHeight="1">
      <c r="AI3" s="174"/>
      <c r="AK3" s="30"/>
      <c r="AL3" s="67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33" t="str">
        <f>A4</f>
        <v>TD1</v>
      </c>
      <c r="AZ3" s="33"/>
      <c r="BA3" s="33"/>
      <c r="BB3" s="6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</row>
    <row r="4" spans="1:156" s="28" customFormat="1" ht="13.5" customHeight="1" thickBot="1">
      <c r="A4" s="327" t="s">
        <v>0</v>
      </c>
      <c r="B4" s="315"/>
      <c r="C4" s="308"/>
      <c r="D4" s="313" t="s">
        <v>1</v>
      </c>
      <c r="E4" s="308"/>
      <c r="F4" s="313" t="s">
        <v>2</v>
      </c>
      <c r="G4" s="308"/>
      <c r="H4" s="46"/>
      <c r="I4" s="326" t="s">
        <v>3</v>
      </c>
      <c r="J4" s="315"/>
      <c r="K4" s="308"/>
      <c r="L4" s="335" t="s">
        <v>4</v>
      </c>
      <c r="M4" s="315"/>
      <c r="N4" s="308"/>
      <c r="O4" s="47" t="s">
        <v>5</v>
      </c>
      <c r="P4" s="314"/>
      <c r="Q4" s="315"/>
      <c r="R4" s="315"/>
      <c r="S4" s="308"/>
      <c r="T4" s="59" t="s">
        <v>6</v>
      </c>
      <c r="U4" s="319"/>
      <c r="V4" s="308"/>
      <c r="W4" s="43"/>
      <c r="AH4" s="24"/>
      <c r="AI4" s="175"/>
      <c r="AJ4" s="58" t="s">
        <v>7</v>
      </c>
      <c r="AK4" s="323"/>
      <c r="AL4" s="3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</row>
    <row r="5" spans="1:156" s="28" customFormat="1" ht="12.75" customHeight="1">
      <c r="A5" s="25" t="s">
        <v>8</v>
      </c>
      <c r="B5" s="307"/>
      <c r="C5" s="308"/>
      <c r="D5" s="307"/>
      <c r="E5" s="308"/>
      <c r="F5" s="307"/>
      <c r="G5" s="308"/>
      <c r="H5" s="48"/>
      <c r="I5" s="321" t="s">
        <v>9</v>
      </c>
      <c r="J5" s="308"/>
      <c r="K5" s="182">
        <f>(((B6-B5)^2)+((D6-D5)^2)+((F6-F5)^2))^(1/2)</f>
        <v>0</v>
      </c>
      <c r="L5" s="88" t="s">
        <v>10</v>
      </c>
      <c r="M5" s="89"/>
      <c r="N5" s="90"/>
      <c r="O5" s="261" t="s">
        <v>11</v>
      </c>
      <c r="P5" s="314"/>
      <c r="Q5" s="315"/>
      <c r="R5" s="315"/>
      <c r="S5" s="308"/>
      <c r="T5" s="262" t="s">
        <v>12</v>
      </c>
      <c r="U5" s="317"/>
      <c r="V5" s="308"/>
      <c r="W5" s="106" t="s">
        <v>13</v>
      </c>
      <c r="X5" s="107"/>
      <c r="Y5" s="29"/>
      <c r="AH5" s="83"/>
      <c r="AI5" s="176"/>
      <c r="AJ5" s="316" t="s">
        <v>14</v>
      </c>
      <c r="AK5" s="316" t="s">
        <v>15</v>
      </c>
      <c r="AL5" s="316" t="s">
        <v>16</v>
      </c>
      <c r="AM5" s="316" t="s">
        <v>17</v>
      </c>
      <c r="AN5" s="328" t="s">
        <v>18</v>
      </c>
      <c r="AO5" s="328" t="s">
        <v>19</v>
      </c>
      <c r="AP5" s="328" t="s">
        <v>20</v>
      </c>
      <c r="AQ5" s="329" t="s">
        <v>21</v>
      </c>
      <c r="AR5" s="329" t="s">
        <v>22</v>
      </c>
      <c r="AS5" s="304" t="s">
        <v>23</v>
      </c>
      <c r="AT5" s="349" t="s">
        <v>24</v>
      </c>
      <c r="AU5" s="305" t="s">
        <v>25</v>
      </c>
      <c r="AV5" s="305" t="s">
        <v>26</v>
      </c>
      <c r="AW5" s="338" t="s">
        <v>27</v>
      </c>
      <c r="AX5" s="333" t="s">
        <v>28</v>
      </c>
      <c r="AY5" s="339" t="s">
        <v>29</v>
      </c>
      <c r="AZ5" s="305" t="s">
        <v>30</v>
      </c>
      <c r="BA5" s="305" t="s">
        <v>31</v>
      </c>
      <c r="BB5" s="305" t="s">
        <v>32</v>
      </c>
      <c r="BC5" s="70"/>
      <c r="BD5" s="34"/>
      <c r="BE5" s="49"/>
      <c r="BF5" s="49"/>
      <c r="BG5" s="49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6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</row>
    <row r="6" spans="1:156" s="28" customFormat="1">
      <c r="A6" s="26" t="s">
        <v>33</v>
      </c>
      <c r="B6" s="307"/>
      <c r="C6" s="308"/>
      <c r="D6" s="307"/>
      <c r="E6" s="308"/>
      <c r="F6" s="307"/>
      <c r="G6" s="308"/>
      <c r="H6" s="48"/>
      <c r="I6" s="321" t="s">
        <v>34</v>
      </c>
      <c r="J6" s="308"/>
      <c r="K6" s="68"/>
      <c r="L6" s="88" t="s">
        <v>35</v>
      </c>
      <c r="M6" s="89"/>
      <c r="N6" s="90" t="e">
        <f>(N8)+90</f>
        <v>#DIV/0!</v>
      </c>
      <c r="O6" s="263" t="s">
        <v>36</v>
      </c>
      <c r="P6" s="314"/>
      <c r="Q6" s="315"/>
      <c r="R6" s="315"/>
      <c r="S6" s="308"/>
      <c r="T6" s="37" t="s">
        <v>37</v>
      </c>
      <c r="U6" s="322"/>
      <c r="V6" s="308"/>
      <c r="Y6" s="29"/>
      <c r="AA6" s="43"/>
      <c r="AH6" s="83"/>
      <c r="AI6" s="176"/>
      <c r="AJ6" s="302"/>
      <c r="AK6" s="302"/>
      <c r="AL6" s="302"/>
      <c r="AM6" s="302"/>
      <c r="AN6" s="302"/>
      <c r="AO6" s="302"/>
      <c r="AP6" s="302"/>
      <c r="AQ6" s="302"/>
      <c r="AR6" s="302"/>
      <c r="AS6" s="302"/>
      <c r="AT6" s="302"/>
      <c r="AU6" s="302"/>
      <c r="AV6" s="302"/>
      <c r="AW6" s="302"/>
      <c r="AX6" s="302"/>
      <c r="AY6" s="302"/>
      <c r="AZ6" s="302"/>
      <c r="BA6" s="302"/>
      <c r="BB6" s="302"/>
      <c r="BD6" s="38"/>
      <c r="BE6"/>
      <c r="BF6" s="50"/>
      <c r="BG6" s="50"/>
      <c r="BT6" s="39"/>
      <c r="BY6" s="29"/>
      <c r="BZ6" s="29"/>
      <c r="CA6" s="29"/>
      <c r="CB6" s="29"/>
      <c r="CC6" s="29"/>
      <c r="CD6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</row>
    <row r="7" spans="1:156" s="28" customFormat="1" ht="15" customHeight="1">
      <c r="A7" s="51"/>
      <c r="B7" s="60"/>
      <c r="C7" s="60"/>
      <c r="E7" s="264"/>
      <c r="F7" s="61"/>
      <c r="G7" s="60"/>
      <c r="J7" s="171">
        <f>IF(B6-B5&gt;0,1,0)</f>
        <v>0</v>
      </c>
      <c r="K7" s="171" t="str">
        <f>IF(AND(D6-B6&gt;0,D5-B5=0),1,IF(AND(D6-B6&lt;0,D5-B5=0),0,""))</f>
        <v/>
      </c>
      <c r="L7" s="88" t="s">
        <v>38</v>
      </c>
      <c r="M7" s="89"/>
      <c r="N7" s="92" t="e">
        <f>DEGREES(ASIN((F5-F6)/K5))</f>
        <v>#DIV/0!</v>
      </c>
      <c r="O7" s="91" t="s">
        <v>39</v>
      </c>
      <c r="P7" s="314"/>
      <c r="Q7" s="315"/>
      <c r="R7" s="315"/>
      <c r="S7" s="308"/>
      <c r="T7" s="87" t="s">
        <v>40</v>
      </c>
      <c r="U7" s="317"/>
      <c r="V7" s="308"/>
      <c r="AH7" s="83"/>
      <c r="AI7" s="176"/>
      <c r="AJ7" s="302"/>
      <c r="AK7" s="302"/>
      <c r="AL7" s="302"/>
      <c r="AM7" s="302"/>
      <c r="AN7" s="302"/>
      <c r="AO7" s="302"/>
      <c r="AP7" s="302"/>
      <c r="AQ7" s="302"/>
      <c r="AR7" s="302"/>
      <c r="AS7" s="302"/>
      <c r="AT7" s="302"/>
      <c r="AU7" s="302"/>
      <c r="AV7" s="302"/>
      <c r="AW7" s="302"/>
      <c r="AX7" s="302"/>
      <c r="AY7" s="302"/>
      <c r="AZ7" s="302"/>
      <c r="BA7" s="302"/>
      <c r="BB7" s="302"/>
      <c r="BC7" s="71"/>
      <c r="BD7" s="62"/>
      <c r="BE7" s="50"/>
      <c r="BF7" s="50"/>
      <c r="BG7" s="50"/>
      <c r="BM7"/>
      <c r="BN7"/>
      <c r="BT7" s="3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</row>
    <row r="8" spans="1:156" s="28" customFormat="1" ht="15" customHeight="1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88" t="s">
        <v>41</v>
      </c>
      <c r="M8" s="89"/>
      <c r="N8" s="92" t="e">
        <f>IF(K7=1,0,IF(K7=0,180,IF(J7=1,DEGREES(_xlfn.ACOT((D6-D5)/(B6-B5))),180+DEGREES(_xlfn.ACOT((D6-D5)/(B6-B5))))))</f>
        <v>#DIV/0!</v>
      </c>
      <c r="O8" s="93" t="s">
        <v>42</v>
      </c>
      <c r="P8" s="43"/>
      <c r="Q8" s="43"/>
      <c r="R8" s="43"/>
      <c r="S8" s="24"/>
      <c r="T8" s="24"/>
      <c r="U8" s="24"/>
      <c r="V8" s="24"/>
      <c r="W8" s="24"/>
      <c r="X8" s="175"/>
      <c r="Y8" s="24"/>
      <c r="Z8" s="24"/>
      <c r="AA8" s="24"/>
      <c r="AB8" s="24"/>
      <c r="AC8" s="24"/>
      <c r="AD8" s="24"/>
      <c r="AE8" s="24"/>
      <c r="AF8" s="24"/>
      <c r="AG8" s="24"/>
      <c r="AH8" s="83"/>
      <c r="AI8" s="176"/>
      <c r="AJ8" s="302"/>
      <c r="AK8" s="302"/>
      <c r="AL8" s="302"/>
      <c r="AM8" s="302"/>
      <c r="AN8" s="302"/>
      <c r="AO8" s="302"/>
      <c r="AP8" s="302"/>
      <c r="AQ8" s="302"/>
      <c r="AR8" s="302"/>
      <c r="AS8" s="302"/>
      <c r="AT8" s="302"/>
      <c r="AU8" s="302"/>
      <c r="AV8" s="302"/>
      <c r="AW8" s="302"/>
      <c r="AX8" s="302"/>
      <c r="AY8" s="302"/>
      <c r="AZ8" s="302"/>
      <c r="BA8" s="302"/>
      <c r="BB8" s="302"/>
      <c r="BD8" s="38"/>
      <c r="BE8" s="50"/>
      <c r="BF8" s="50"/>
      <c r="BG8" s="50"/>
      <c r="BT8" s="39"/>
      <c r="BY8" s="29"/>
      <c r="BZ8" s="29"/>
      <c r="CA8" s="29"/>
      <c r="CB8" s="29"/>
      <c r="CC8" s="29"/>
      <c r="CD8" s="29"/>
      <c r="CE8" s="29"/>
      <c r="CF8" s="29"/>
      <c r="CG8" s="29"/>
      <c r="CH8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  <c r="EY8" s="29"/>
      <c r="EZ8" s="29"/>
    </row>
    <row r="9" spans="1:156" s="28" customFormat="1" ht="19.350000000000001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309" t="s">
        <v>43</v>
      </c>
      <c r="X9" s="310"/>
      <c r="Y9" s="310"/>
      <c r="Z9" s="310"/>
      <c r="AA9" s="310"/>
      <c r="AB9" s="310"/>
      <c r="AC9" s="325" t="s">
        <v>44</v>
      </c>
      <c r="AD9" s="310"/>
      <c r="AE9" s="310"/>
      <c r="AF9" s="310"/>
      <c r="AG9" s="310"/>
      <c r="AH9" s="310"/>
      <c r="AI9" s="177"/>
      <c r="AJ9" s="302"/>
      <c r="AK9" s="302"/>
      <c r="AL9" s="302"/>
      <c r="AM9" s="302"/>
      <c r="AN9" s="302"/>
      <c r="AO9" s="302"/>
      <c r="AP9" s="302"/>
      <c r="AQ9" s="302"/>
      <c r="AR9" s="302"/>
      <c r="AS9" s="302"/>
      <c r="AT9" s="302"/>
      <c r="AU9" s="302"/>
      <c r="AV9" s="302"/>
      <c r="AW9" s="302"/>
      <c r="AX9" s="302"/>
      <c r="AY9" s="302"/>
      <c r="AZ9" s="302"/>
      <c r="BA9" s="302"/>
      <c r="BB9" s="302"/>
      <c r="BD9" s="38"/>
      <c r="BE9" s="50"/>
      <c r="BF9" s="50"/>
      <c r="BG9" s="50"/>
      <c r="BT9" s="3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  <c r="EY9" s="29"/>
      <c r="EZ9" s="29"/>
    </row>
    <row r="10" spans="1:156" s="28" customFormat="1" ht="12.75" customHeight="1">
      <c r="A10" s="336" t="s">
        <v>45</v>
      </c>
      <c r="B10" s="320" t="s">
        <v>46</v>
      </c>
      <c r="C10" s="318" t="s">
        <v>47</v>
      </c>
      <c r="D10" s="318" t="s">
        <v>48</v>
      </c>
      <c r="E10" s="320" t="s">
        <v>49</v>
      </c>
      <c r="F10" s="330" t="s">
        <v>50</v>
      </c>
      <c r="G10" s="331" t="s">
        <v>51</v>
      </c>
      <c r="H10" s="330" t="s">
        <v>52</v>
      </c>
      <c r="I10" s="301" t="s">
        <v>53</v>
      </c>
      <c r="J10" s="312" t="s">
        <v>54</v>
      </c>
      <c r="K10" s="306" t="s">
        <v>55</v>
      </c>
      <c r="L10" s="306" t="s">
        <v>56</v>
      </c>
      <c r="M10" s="301" t="s">
        <v>57</v>
      </c>
      <c r="N10" s="301" t="s">
        <v>58</v>
      </c>
      <c r="O10" s="312" t="s">
        <v>59</v>
      </c>
      <c r="P10" s="312" t="s">
        <v>60</v>
      </c>
      <c r="Q10" s="334" t="s">
        <v>59</v>
      </c>
      <c r="R10" s="334" t="s">
        <v>60</v>
      </c>
      <c r="S10" s="348" t="s">
        <v>61</v>
      </c>
      <c r="T10" s="331" t="s">
        <v>62</v>
      </c>
      <c r="U10" s="337" t="s">
        <v>63</v>
      </c>
      <c r="V10" s="331" t="s">
        <v>64</v>
      </c>
      <c r="W10" s="311" t="s">
        <v>65</v>
      </c>
      <c r="X10" s="311" t="s">
        <v>66</v>
      </c>
      <c r="Y10" s="311" t="s">
        <v>67</v>
      </c>
      <c r="Z10" s="311" t="s">
        <v>68</v>
      </c>
      <c r="AA10" s="311" t="s">
        <v>69</v>
      </c>
      <c r="AB10" s="311" t="s">
        <v>70</v>
      </c>
      <c r="AC10" s="332" t="s">
        <v>65</v>
      </c>
      <c r="AD10" s="332" t="s">
        <v>66</v>
      </c>
      <c r="AE10" s="332" t="s">
        <v>67</v>
      </c>
      <c r="AF10" s="332" t="s">
        <v>68</v>
      </c>
      <c r="AG10" s="332" t="s">
        <v>69</v>
      </c>
      <c r="AH10" s="332" t="s">
        <v>70</v>
      </c>
      <c r="AI10" s="178"/>
      <c r="AJ10" s="303"/>
      <c r="AK10" s="303"/>
      <c r="AL10" s="303"/>
      <c r="AM10" s="303"/>
      <c r="AN10" s="303"/>
      <c r="AO10" s="303"/>
      <c r="AP10" s="303"/>
      <c r="AQ10" s="303"/>
      <c r="AR10" s="303"/>
      <c r="AS10" s="303"/>
      <c r="AT10" s="303"/>
      <c r="AU10" s="303"/>
      <c r="AV10" s="303"/>
      <c r="AW10" s="303"/>
      <c r="AX10" s="303"/>
      <c r="AY10" s="303"/>
      <c r="AZ10" s="303"/>
      <c r="BA10" s="303"/>
      <c r="BB10" s="303"/>
      <c r="BD10" s="38"/>
      <c r="BE10" s="50"/>
      <c r="BF10" s="50"/>
      <c r="BG10" s="50"/>
      <c r="BT10" s="39"/>
      <c r="BW10" s="249"/>
      <c r="BX10" s="249"/>
      <c r="BY10" s="158"/>
      <c r="BZ10" s="249"/>
      <c r="CA10" s="158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  <c r="EY10" s="29"/>
      <c r="EZ10" s="29"/>
    </row>
    <row r="11" spans="1:156" s="28" customFormat="1">
      <c r="A11" s="302"/>
      <c r="B11" s="302"/>
      <c r="C11" s="302"/>
      <c r="D11" s="302"/>
      <c r="E11" s="302"/>
      <c r="F11" s="302"/>
      <c r="G11" s="302"/>
      <c r="H11" s="302"/>
      <c r="I11" s="302"/>
      <c r="J11" s="302"/>
      <c r="K11" s="302"/>
      <c r="L11" s="302"/>
      <c r="M11" s="302"/>
      <c r="N11" s="302"/>
      <c r="O11" s="302"/>
      <c r="P11" s="302"/>
      <c r="Q11" s="302"/>
      <c r="R11" s="302"/>
      <c r="S11" s="302"/>
      <c r="T11" s="302"/>
      <c r="U11" s="302"/>
      <c r="V11" s="302"/>
      <c r="W11" s="310"/>
      <c r="X11" s="310"/>
      <c r="Y11" s="310"/>
      <c r="Z11" s="310"/>
      <c r="AA11" s="310"/>
      <c r="AB11" s="310"/>
      <c r="AC11" s="310"/>
      <c r="AD11" s="310"/>
      <c r="AE11" s="310"/>
      <c r="AF11" s="310"/>
      <c r="AG11" s="310"/>
      <c r="AH11" s="310"/>
      <c r="AI11" s="179">
        <v>76</v>
      </c>
      <c r="AJ11" s="94"/>
      <c r="AK11" s="149" t="e">
        <f>VLOOKUP(AJ11,RMR!$B$84:$D$88,2,FALSE)</f>
        <v>#N/A</v>
      </c>
      <c r="AL11" s="173"/>
      <c r="AM11" s="149" t="e">
        <f>VLOOKUP(AL11,RMR!$A$5:$D$11,4,FALSE)</f>
        <v>#N/A</v>
      </c>
      <c r="AN11" s="95"/>
      <c r="AO11" s="95"/>
      <c r="AP11" s="96"/>
      <c r="AQ11" s="94"/>
      <c r="AR11" s="94"/>
      <c r="AS11" s="151" t="e">
        <f>VLOOKUP(AT11,RMR!$A$15:$D$19,4,TRUE)</f>
        <v>#DIV/0!</v>
      </c>
      <c r="AT11" s="97" t="e">
        <f>115-3.3*N31</f>
        <v>#DIV/0!</v>
      </c>
      <c r="AU11" s="97" t="e">
        <f>(1/AW11)+1</f>
        <v>#DIV/0!</v>
      </c>
      <c r="AV11" s="104" t="e">
        <f>(J29+J30+J31)/3</f>
        <v>#DIV/0!</v>
      </c>
      <c r="AW11" s="105" t="e">
        <f>(J15*F15+J16*F16+J17*F17+J18*F18+J19*F19+J20*F20+J21*F21+J22*F22+J23*F23)/SUM(F15:F23)</f>
        <v>#DIV/0!</v>
      </c>
      <c r="AX11" s="185" t="e">
        <f>VLOOKUP(AW11,RMR!$D$24:$F$28,3,TRUE)</f>
        <v>#DIV/0!</v>
      </c>
      <c r="AY11" s="98" t="e">
        <f>(AB15*F15+AB16*F16+AB17*F17+AB18*F18+AB19*F19+AB20*F20+AB21*F21+AB22*F22+AB23*F23+AB24*F24+AB25*F25+AB26*F26+AB27*F27+AB28*F28)/SUM(F15:F28)</f>
        <v>#VALUE!</v>
      </c>
      <c r="AZ11" s="98" t="e">
        <f>SUM(AY11,AX11,AS11,AM11,AK11)</f>
        <v>#VALUE!</v>
      </c>
      <c r="BA11" s="172"/>
      <c r="BB11" s="99"/>
      <c r="BD11" s="38"/>
      <c r="BE11" s="50"/>
      <c r="BF11" s="50"/>
      <c r="BG11" s="50"/>
      <c r="BT11" s="39"/>
      <c r="BW11" s="250"/>
      <c r="BX11" s="250"/>
      <c r="BY11" s="159"/>
      <c r="BZ11" s="250"/>
      <c r="CA11" s="15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  <c r="EY11" s="29"/>
      <c r="EZ11" s="29"/>
    </row>
    <row r="12" spans="1:156" s="28" customFormat="1" ht="13.5" customHeight="1" thickBot="1">
      <c r="A12" s="302"/>
      <c r="B12" s="302"/>
      <c r="C12" s="302"/>
      <c r="D12" s="302"/>
      <c r="E12" s="302"/>
      <c r="F12" s="302"/>
      <c r="G12" s="302"/>
      <c r="H12" s="302"/>
      <c r="I12" s="302"/>
      <c r="J12" s="302"/>
      <c r="K12" s="302"/>
      <c r="L12" s="302"/>
      <c r="M12" s="302"/>
      <c r="N12" s="302"/>
      <c r="O12" s="302"/>
      <c r="P12" s="302"/>
      <c r="Q12" s="302"/>
      <c r="R12" s="302"/>
      <c r="S12" s="302"/>
      <c r="T12" s="302"/>
      <c r="U12" s="302"/>
      <c r="V12" s="302"/>
      <c r="W12" s="310"/>
      <c r="X12" s="310"/>
      <c r="Y12" s="310"/>
      <c r="Z12" s="310"/>
      <c r="AA12" s="310"/>
      <c r="AB12" s="310"/>
      <c r="AC12" s="310"/>
      <c r="AD12" s="310"/>
      <c r="AE12" s="310"/>
      <c r="AF12" s="310"/>
      <c r="AG12" s="310"/>
      <c r="AH12" s="310"/>
      <c r="AI12" s="180">
        <v>89</v>
      </c>
      <c r="AJ12" s="100"/>
      <c r="AK12" s="150" t="e">
        <f>VLOOKUP(AJ12,RMR!$B$84:$D$88,3,FALSE)</f>
        <v>#N/A</v>
      </c>
      <c r="AL12" s="173"/>
      <c r="AM12" s="149" t="e">
        <f>VLOOKUP(AL12,RMR!$A$5:$D$11,3,FALSE)</f>
        <v>#N/A</v>
      </c>
      <c r="AN12" s="95"/>
      <c r="AO12" s="95"/>
      <c r="AP12" s="95"/>
      <c r="AQ12" s="95"/>
      <c r="AR12" s="95"/>
      <c r="AS12" s="102" t="e">
        <f>IF(AT12&lt;0,"Error",IF(AND(AT12&gt;=0,AT12&lt;=100),((-0.000006*AT12^3)+0.0015*AT12^2+0.0806*AT12+3.0282),IF(AT12&gt;100,"Error","Revisar")))</f>
        <v>#DIV/0!</v>
      </c>
      <c r="AT12" s="101" t="e">
        <f>115-3.3*N31</f>
        <v>#DIV/0!</v>
      </c>
      <c r="AU12" s="101" t="e">
        <f>AU11</f>
        <v>#DIV/0!</v>
      </c>
      <c r="AV12" s="104" t="e">
        <f>AV11</f>
        <v>#DIV/0!</v>
      </c>
      <c r="AW12" s="105" t="e">
        <f>AW11</f>
        <v>#DIV/0!</v>
      </c>
      <c r="AX12" s="184" t="e">
        <f>VLOOKUP(AW12,RMR!$A$24:$C$28,3,TRUE)</f>
        <v>#DIV/0!</v>
      </c>
      <c r="AY12" s="103" t="e">
        <f>(AH15*F15+AH16*F16+AH17*F17+AH18*F18+AH19*F19+AH20*F20+AH21*F21+AH22*F22+AH23*F23+AH24*F24+AH25*F25+AH26*F26+AH27*F27+AH28*F28)/SUM(F15:F28)</f>
        <v>#N/A</v>
      </c>
      <c r="AZ12" s="98" t="e">
        <f>SUM(AY12,AX12,AS12,AM12,AK12)</f>
        <v>#N/A</v>
      </c>
      <c r="BA12" s="172"/>
      <c r="BB12" s="172"/>
      <c r="BD12" s="38"/>
      <c r="BJ12" s="50"/>
      <c r="BK12" s="50"/>
      <c r="BL12" s="50"/>
      <c r="BT12" s="39"/>
      <c r="BW12" s="250"/>
      <c r="BX12" s="250"/>
      <c r="BY12" s="159"/>
      <c r="BZ12" s="250"/>
      <c r="CA12" s="15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  <c r="EP12" s="29"/>
      <c r="EQ12" s="29"/>
      <c r="ER12" s="29"/>
      <c r="ES12" s="29"/>
      <c r="ET12" s="29"/>
      <c r="EU12" s="29"/>
      <c r="EV12" s="29"/>
      <c r="EW12" s="29"/>
      <c r="EX12" s="29"/>
      <c r="EY12" s="29"/>
      <c r="EZ12" s="29"/>
    </row>
    <row r="13" spans="1:156" s="28" customFormat="1">
      <c r="A13" s="302"/>
      <c r="B13" s="302"/>
      <c r="C13" s="302"/>
      <c r="D13" s="302"/>
      <c r="E13" s="302"/>
      <c r="F13" s="302"/>
      <c r="G13" s="302"/>
      <c r="H13" s="302"/>
      <c r="I13" s="302"/>
      <c r="J13" s="302"/>
      <c r="K13" s="302"/>
      <c r="L13" s="302"/>
      <c r="M13" s="302"/>
      <c r="N13" s="302"/>
      <c r="O13" s="302"/>
      <c r="P13" s="302"/>
      <c r="Q13" s="302"/>
      <c r="R13" s="302"/>
      <c r="S13" s="302"/>
      <c r="T13" s="302"/>
      <c r="U13" s="302"/>
      <c r="V13" s="302"/>
      <c r="W13" s="310"/>
      <c r="X13" s="310"/>
      <c r="Y13" s="310"/>
      <c r="Z13" s="310"/>
      <c r="AA13" s="310"/>
      <c r="AB13" s="310"/>
      <c r="AC13" s="310"/>
      <c r="AD13" s="310"/>
      <c r="AE13" s="310"/>
      <c r="AF13" s="310"/>
      <c r="AG13" s="310"/>
      <c r="AH13" s="310"/>
      <c r="AI13" s="178"/>
      <c r="AJ13" s="80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74"/>
      <c r="BD13" s="38"/>
      <c r="BJ13" s="50"/>
      <c r="BK13" s="50"/>
      <c r="BL13" s="50"/>
      <c r="BT13" s="39"/>
      <c r="BW13" s="154"/>
      <c r="BX13" s="154"/>
      <c r="BY13" s="160"/>
      <c r="BZ13" s="154"/>
      <c r="CA13" s="160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29"/>
      <c r="EU13" s="29"/>
      <c r="EV13" s="29"/>
      <c r="EW13" s="29"/>
      <c r="EX13" s="29"/>
      <c r="EY13" s="29"/>
      <c r="EZ13" s="29"/>
    </row>
    <row r="14" spans="1:156" s="28" customFormat="1" ht="42.6" customHeight="1">
      <c r="A14" s="303"/>
      <c r="B14" s="303"/>
      <c r="C14" s="303"/>
      <c r="D14" s="303"/>
      <c r="E14" s="303"/>
      <c r="F14" s="303"/>
      <c r="G14" s="303"/>
      <c r="H14" s="303"/>
      <c r="I14" s="303"/>
      <c r="J14" s="303"/>
      <c r="K14" s="303"/>
      <c r="L14" s="303"/>
      <c r="M14" s="303"/>
      <c r="N14" s="303"/>
      <c r="O14" s="303"/>
      <c r="P14" s="303"/>
      <c r="Q14" s="303"/>
      <c r="R14" s="303"/>
      <c r="S14" s="303"/>
      <c r="T14" s="303"/>
      <c r="U14" s="303"/>
      <c r="V14" s="303"/>
      <c r="W14" s="310"/>
      <c r="X14" s="310"/>
      <c r="Y14" s="310"/>
      <c r="Z14" s="310"/>
      <c r="AA14" s="310"/>
      <c r="AB14" s="310"/>
      <c r="AC14" s="310"/>
      <c r="AD14" s="310"/>
      <c r="AE14" s="310"/>
      <c r="AF14" s="310"/>
      <c r="AG14" s="310"/>
      <c r="AH14" s="310"/>
      <c r="AI14" s="178"/>
      <c r="AJ14" s="82"/>
      <c r="AK14" s="86"/>
      <c r="AL14" s="86"/>
      <c r="AM14" s="86"/>
      <c r="AN14" s="86"/>
      <c r="AO14" s="86"/>
      <c r="AP14" s="86"/>
      <c r="AQ14" s="86"/>
      <c r="AR14" s="86" t="s">
        <v>71</v>
      </c>
      <c r="AS14" s="86"/>
      <c r="AT14" s="86"/>
      <c r="AU14" s="86"/>
      <c r="AV14" s="86"/>
      <c r="AW14" s="86"/>
      <c r="AX14" s="86"/>
      <c r="AY14" s="86"/>
      <c r="AZ14" s="86"/>
      <c r="BA14" s="86"/>
      <c r="BB14" s="75"/>
      <c r="BD14" s="38"/>
      <c r="BJ14" s="50"/>
      <c r="BK14" s="50"/>
      <c r="BL14" s="50"/>
      <c r="BT14" s="39"/>
      <c r="BU14"/>
      <c r="BW14" s="155" t="s">
        <v>72</v>
      </c>
      <c r="BX14" s="155" t="s">
        <v>73</v>
      </c>
      <c r="BY14" s="161" t="s">
        <v>73</v>
      </c>
      <c r="BZ14" s="155" t="s">
        <v>74</v>
      </c>
      <c r="CA14" s="161" t="s">
        <v>74</v>
      </c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  <c r="EY14" s="29"/>
      <c r="EZ14" s="29"/>
    </row>
    <row r="15" spans="1:156" s="28" customFormat="1">
      <c r="A15" s="45"/>
      <c r="B15" s="45"/>
      <c r="C15" s="45"/>
      <c r="D15" s="45"/>
      <c r="E15" s="45"/>
      <c r="F15" s="170"/>
      <c r="G15" s="45"/>
      <c r="H15" s="45"/>
      <c r="I15" s="45"/>
      <c r="J15" s="52"/>
      <c r="K15" s="45"/>
      <c r="L15" s="45"/>
      <c r="M15" s="45"/>
      <c r="N15" s="45"/>
      <c r="O15" s="53" t="str">
        <f>IF(BY15="","",VLOOKUP(BY15,RMR!$N$77:$Q$81,4,TRUE))</f>
        <v/>
      </c>
      <c r="P15" s="53" t="str">
        <f>IF(CA15="","",VLOOKUP(CA15,RMR!$N$77:$Q$81,4,TRUE))</f>
        <v/>
      </c>
      <c r="Q15" s="157" t="str">
        <f>IF(BY15="","",VLOOKUP(BY15,RMR!$N$77:$Q$81,3,TRUE))</f>
        <v/>
      </c>
      <c r="R15" s="157" t="str">
        <f>IF(CA15="","",VLOOKUP(CA15,RMR!$N$77:$Q$81,3,TRUE))</f>
        <v/>
      </c>
      <c r="S15" s="45"/>
      <c r="T15" s="45"/>
      <c r="U15" s="45"/>
      <c r="V15" s="45"/>
      <c r="W15" s="54" t="e">
        <f>VLOOKUP(V15,RMR!$A$40:$C$45,3,FALSE)</f>
        <v>#N/A</v>
      </c>
      <c r="X15" s="55" t="str">
        <f>IF(O15="","error",MIN(O15:P15))</f>
        <v>error</v>
      </c>
      <c r="Y15" s="54" t="e">
        <f>VLOOKUP(I15,RMR!$A$31:$D$35,4,TRUE)</f>
        <v>#N/A</v>
      </c>
      <c r="Z15" s="54" t="str">
        <f>IF(G15="","error",VLOOKUP(G15,RMR!$B$51:$E$55,4,TRUE))</f>
        <v>error</v>
      </c>
      <c r="AA15" s="54" t="e">
        <f>VLOOKUP(T15,RMR!$A$59:$C$67,3,TRUE)</f>
        <v>#N/A</v>
      </c>
      <c r="AB15" s="55" t="e">
        <f>SUM(X15+Y15+Z15+AA15+W15)</f>
        <v>#VALUE!</v>
      </c>
      <c r="AC15" s="84" t="e">
        <f>VLOOKUP(V15,RMR!$A$40:$C$45,2,FALSE)</f>
        <v>#N/A</v>
      </c>
      <c r="AD15" s="84" t="str">
        <f>IF(Q15="","error",MIN(Q15:R15))</f>
        <v>error</v>
      </c>
      <c r="AE15" s="84" t="e">
        <f>VLOOKUP(I15,RMR!$A$31:$D$35,3,TRUE)</f>
        <v>#N/A</v>
      </c>
      <c r="AF15" s="84" t="str">
        <f>IF(G15="","error",VLOOKUP(G15,RMR!$B$51:$E$55,3,TRUE))</f>
        <v>error</v>
      </c>
      <c r="AG15" s="84" t="e">
        <f>VLOOKUP(T15,RMR!$A$59:$C$67,2,TRUE)</f>
        <v>#N/A</v>
      </c>
      <c r="AH15" s="85" t="e">
        <f>SUM(AC15+AD15+AE15+AF15+AG15)</f>
        <v>#N/A</v>
      </c>
      <c r="AI15" s="248" t="e">
        <f>(5/J15)/3</f>
        <v>#DIV/0!</v>
      </c>
      <c r="AJ15" s="82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75"/>
      <c r="BD15" s="38"/>
      <c r="BJ15" s="50"/>
      <c r="BK15" s="50"/>
      <c r="BL15" s="50"/>
      <c r="BT15" s="39"/>
      <c r="BW15" s="156" t="str">
        <f>IF(H15="","error",VLOOKUP(H15,RMR!$N$73:$P$74,3,TRUE))</f>
        <v>error</v>
      </c>
      <c r="BX15" s="156" t="str">
        <f>IF(OR(M15=-1,M15=""),"",VLOOKUP(M15,RMR!$A$72:$B$79,2,FALSE))</f>
        <v/>
      </c>
      <c r="BY15" s="162" t="str">
        <f t="shared" ref="BY15:BY28" si="0">IF(BX15=3,5,IF(BX15="","",IF(AND(BX15=1,BW15=1),1,IF(AND(BX15=1,BW15=2),2,IF(AND(BX15=2,BW15=1),3,IF(AND(BX15=2,BW15=2),4,"error"))))))</f>
        <v/>
      </c>
      <c r="BZ15" s="156" t="str">
        <f>IF(OR(N15=-1,N15=""),"",VLOOKUP(N15,RMR!$A$73:$B$79,2,FALSE))</f>
        <v/>
      </c>
      <c r="CA15" s="162" t="str">
        <f t="shared" ref="CA15:CA28" si="1">IF(BZ15="","",IF(AND(BZ15=1,BW15=1),1,IF(AND(BZ15=1,BW15=2),2,IF(AND(BZ15=2,BW15=1),3,IF(AND(BZ15=2,BW15=2),4,"error")))))</f>
        <v/>
      </c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  <c r="EY15" s="29"/>
      <c r="EZ15" s="29"/>
    </row>
    <row r="16" spans="1:156" s="28" customFormat="1">
      <c r="A16" s="45"/>
      <c r="B16" s="45"/>
      <c r="C16" s="45"/>
      <c r="D16" s="45"/>
      <c r="E16" s="45"/>
      <c r="F16" s="170"/>
      <c r="G16" s="45"/>
      <c r="H16" s="45"/>
      <c r="I16" s="45"/>
      <c r="J16" s="52"/>
      <c r="K16" s="45"/>
      <c r="L16" s="45"/>
      <c r="M16" s="45"/>
      <c r="N16" s="45"/>
      <c r="O16" s="53" t="str">
        <f>IF(BY16="","",VLOOKUP(BY16,RMR!$N$77:$Q$81,4,TRUE))</f>
        <v/>
      </c>
      <c r="P16" s="53" t="str">
        <f>IF(CA16="","",VLOOKUP(CA16,RMR!$N$77:$Q$81,4,TRUE))</f>
        <v/>
      </c>
      <c r="Q16" s="157" t="str">
        <f>IF(BY16="","",VLOOKUP(BY16,RMR!$N$77:$Q$81,3,TRUE))</f>
        <v/>
      </c>
      <c r="R16" s="157" t="str">
        <f>IF(CA16="","",VLOOKUP(CA16,RMR!$N$77:$Q$81,3,TRUE))</f>
        <v/>
      </c>
      <c r="S16" s="45"/>
      <c r="T16" s="45"/>
      <c r="U16" s="45"/>
      <c r="V16" s="45"/>
      <c r="W16" s="54"/>
      <c r="X16" s="55"/>
      <c r="Y16" s="54"/>
      <c r="Z16" s="54"/>
      <c r="AA16" s="54"/>
      <c r="AB16" s="55"/>
      <c r="AC16" s="84"/>
      <c r="AD16" s="84"/>
      <c r="AE16" s="84"/>
      <c r="AF16" s="84"/>
      <c r="AG16" s="84"/>
      <c r="AH16" s="85"/>
      <c r="AI16" s="248"/>
      <c r="AJ16" s="82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75"/>
      <c r="BD16" s="38"/>
      <c r="BJ16" s="50"/>
      <c r="BK16" s="50"/>
      <c r="BL16" s="50"/>
      <c r="BT16" s="39"/>
      <c r="BW16" s="156" t="str">
        <f>IF(H16="","error",VLOOKUP(H16,RMR!$N$73:$P$74,3,TRUE))</f>
        <v>error</v>
      </c>
      <c r="BX16" s="156" t="str">
        <f>IF(OR(M16=-1,M16=""),"",VLOOKUP(M16,RMR!$A$72:$B$79,2,FALSE))</f>
        <v/>
      </c>
      <c r="BY16" s="162" t="str">
        <f t="shared" si="0"/>
        <v/>
      </c>
      <c r="BZ16" s="156" t="str">
        <f>IF(OR(N16=-1,N16=""),"",VLOOKUP(N16,RMR!$A$73:$B$79,2,FALSE))</f>
        <v/>
      </c>
      <c r="CA16" s="162" t="str">
        <f t="shared" si="1"/>
        <v/>
      </c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  <c r="EY16" s="29"/>
      <c r="EZ16" s="29"/>
    </row>
    <row r="17" spans="1:156" s="28" customFormat="1">
      <c r="A17" s="45"/>
      <c r="B17" s="45"/>
      <c r="C17" s="45"/>
      <c r="D17" s="45"/>
      <c r="E17" s="45"/>
      <c r="F17" s="170"/>
      <c r="G17" s="45"/>
      <c r="H17" s="45"/>
      <c r="I17" s="45"/>
      <c r="J17" s="52"/>
      <c r="K17" s="45"/>
      <c r="L17" s="45"/>
      <c r="M17" s="45"/>
      <c r="N17" s="45"/>
      <c r="O17" s="53" t="str">
        <f>IF(BY17="","",VLOOKUP(BY17,RMR!$N$77:$Q$81,4,TRUE))</f>
        <v/>
      </c>
      <c r="P17" s="53" t="str">
        <f>IF(CA17="","",VLOOKUP(CA17,RMR!$N$77:$Q$81,4,TRUE))</f>
        <v/>
      </c>
      <c r="Q17" s="157" t="str">
        <f>IF(BY17="","",VLOOKUP(BY17,RMR!$N$77:$Q$81,3,TRUE))</f>
        <v/>
      </c>
      <c r="R17" s="157" t="str">
        <f>IF(CA17="","",VLOOKUP(CA17,RMR!$N$77:$Q$81,3,TRUE))</f>
        <v/>
      </c>
      <c r="S17" s="45"/>
      <c r="T17" s="45"/>
      <c r="U17" s="45"/>
      <c r="V17" s="45"/>
      <c r="W17" s="54"/>
      <c r="X17" s="55"/>
      <c r="Y17" s="54"/>
      <c r="Z17" s="54"/>
      <c r="AA17" s="54"/>
      <c r="AB17" s="55"/>
      <c r="AC17" s="84"/>
      <c r="AD17" s="84"/>
      <c r="AE17" s="84"/>
      <c r="AF17" s="84"/>
      <c r="AG17" s="84"/>
      <c r="AH17" s="85"/>
      <c r="AI17" s="248"/>
      <c r="AJ17" s="82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75"/>
      <c r="BD17" s="38"/>
      <c r="BG17" s="56"/>
      <c r="BH17" s="56"/>
      <c r="BT17" s="39"/>
      <c r="BW17" s="156" t="str">
        <f>IF(H17="","error",VLOOKUP(H17,RMR!$N$73:$P$74,3,TRUE))</f>
        <v>error</v>
      </c>
      <c r="BX17" s="156" t="str">
        <f>IF(OR(M17=-1,M17=""),"",VLOOKUP(M17,RMR!$A$72:$B$79,2,FALSE))</f>
        <v/>
      </c>
      <c r="BY17" s="162" t="str">
        <f t="shared" si="0"/>
        <v/>
      </c>
      <c r="BZ17" s="156" t="str">
        <f>IF(OR(N17=-1,N17=""),"",VLOOKUP(N17,RMR!$A$73:$B$79,2,FALSE))</f>
        <v/>
      </c>
      <c r="CA17" s="162" t="str">
        <f t="shared" si="1"/>
        <v/>
      </c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  <c r="EY17" s="29"/>
      <c r="EZ17" s="29"/>
    </row>
    <row r="18" spans="1:156" s="28" customFormat="1">
      <c r="A18" s="45"/>
      <c r="B18" s="45"/>
      <c r="C18" s="45"/>
      <c r="D18" s="45"/>
      <c r="E18" s="265"/>
      <c r="F18" s="170"/>
      <c r="G18" s="45"/>
      <c r="H18" s="45"/>
      <c r="I18" s="45"/>
      <c r="J18" s="52"/>
      <c r="K18" s="45"/>
      <c r="L18" s="45"/>
      <c r="M18" s="45"/>
      <c r="N18" s="45"/>
      <c r="O18" s="53" t="str">
        <f>IF(BY18="","",VLOOKUP(BY18,RMR!$N$77:$Q$81,4,TRUE))</f>
        <v/>
      </c>
      <c r="P18" s="53" t="str">
        <f>IF(CA18="","",VLOOKUP(CA18,RMR!$N$77:$Q$81,4,TRUE))</f>
        <v/>
      </c>
      <c r="Q18" s="157" t="str">
        <f>IF(BY18="","",VLOOKUP(BY18,RMR!$N$77:$Q$81,3,TRUE))</f>
        <v/>
      </c>
      <c r="R18" s="157" t="str">
        <f>IF(CA18="","",VLOOKUP(CA18,RMR!$N$77:$Q$81,3,TRUE))</f>
        <v/>
      </c>
      <c r="S18" s="45"/>
      <c r="T18" s="45"/>
      <c r="U18" s="45"/>
      <c r="V18" s="45"/>
      <c r="W18" s="54"/>
      <c r="X18" s="55"/>
      <c r="Y18" s="54"/>
      <c r="Z18" s="54"/>
      <c r="AA18" s="54"/>
      <c r="AB18" s="55"/>
      <c r="AC18" s="84"/>
      <c r="AD18" s="84"/>
      <c r="AE18" s="84"/>
      <c r="AF18" s="84"/>
      <c r="AG18" s="84"/>
      <c r="AH18" s="85"/>
      <c r="AI18" s="248"/>
      <c r="AJ18" s="82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75"/>
      <c r="BD18" s="38"/>
      <c r="BT18" s="39"/>
      <c r="BW18" s="156" t="str">
        <f>IF(H18="","error",VLOOKUP(H18,RMR!$N$73:$P$74,3,TRUE))</f>
        <v>error</v>
      </c>
      <c r="BX18" s="156" t="str">
        <f>IF(OR(M18=-1,M18=""),"",VLOOKUP(M18,RMR!$A$72:$B$79,2,FALSE))</f>
        <v/>
      </c>
      <c r="BY18" s="162" t="str">
        <f t="shared" si="0"/>
        <v/>
      </c>
      <c r="BZ18" s="156" t="str">
        <f>IF(OR(N18=-1,N18=""),"",VLOOKUP(N18,RMR!$A$73:$B$79,2,FALSE))</f>
        <v/>
      </c>
      <c r="CA18" s="162" t="str">
        <f t="shared" si="1"/>
        <v/>
      </c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  <c r="EY18" s="29"/>
      <c r="EZ18" s="29"/>
    </row>
    <row r="19" spans="1:156" s="28" customFormat="1" ht="13.5" customHeight="1" thickBot="1">
      <c r="A19" s="45"/>
      <c r="B19" s="45"/>
      <c r="C19" s="45"/>
      <c r="D19" s="45"/>
      <c r="E19" s="265"/>
      <c r="F19" s="170"/>
      <c r="G19" s="45"/>
      <c r="H19" s="45"/>
      <c r="I19" s="45"/>
      <c r="J19" s="52"/>
      <c r="K19" s="45"/>
      <c r="L19" s="45"/>
      <c r="M19" s="45"/>
      <c r="N19" s="45"/>
      <c r="O19" s="53" t="str">
        <f>IF(BY19="","",VLOOKUP(BY19,RMR!$N$77:$Q$81,4,TRUE))</f>
        <v/>
      </c>
      <c r="P19" s="53" t="str">
        <f>IF(CA19="","",VLOOKUP(CA19,RMR!$N$77:$Q$81,4,TRUE))</f>
        <v/>
      </c>
      <c r="Q19" s="157" t="str">
        <f>IF(BY19="","",VLOOKUP(BY19,RMR!$N$77:$Q$81,3,TRUE))</f>
        <v/>
      </c>
      <c r="R19" s="157" t="str">
        <f>IF(CA19="","",VLOOKUP(CA19,RMR!$N$76:$Q$79,3,TRUE))</f>
        <v/>
      </c>
      <c r="S19" s="45"/>
      <c r="T19" s="45"/>
      <c r="U19" s="45"/>
      <c r="V19" s="45"/>
      <c r="W19" s="54"/>
      <c r="X19" s="55"/>
      <c r="Y19" s="54"/>
      <c r="Z19" s="54"/>
      <c r="AA19" s="54"/>
      <c r="AB19" s="55"/>
      <c r="AC19" s="84"/>
      <c r="AD19" s="84"/>
      <c r="AE19" s="84"/>
      <c r="AF19" s="84"/>
      <c r="AG19" s="84"/>
      <c r="AH19" s="85"/>
      <c r="AI19" s="248"/>
      <c r="AJ19" s="82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75"/>
      <c r="BD19" s="40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2"/>
      <c r="BW19" s="156" t="str">
        <f>IF(H19="","error",VLOOKUP(H19,RMR!$N$73:$P$74,3,TRUE))</f>
        <v>error</v>
      </c>
      <c r="BX19" s="156" t="str">
        <f>IF(OR(M19=-1,M19=""),"",VLOOKUP(M19,RMR!$A$72:$B$79,2,FALSE))</f>
        <v/>
      </c>
      <c r="BY19" s="162" t="str">
        <f t="shared" si="0"/>
        <v/>
      </c>
      <c r="BZ19" s="156" t="str">
        <f>IF(OR(N19=-1,N19=""),"",VLOOKUP(N19,RMR!$A$73:$B$79,2,FALSE))</f>
        <v/>
      </c>
      <c r="CA19" s="162" t="str">
        <f t="shared" si="1"/>
        <v/>
      </c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  <c r="EP19" s="29"/>
      <c r="EQ19" s="29"/>
      <c r="ER19" s="29"/>
      <c r="ES19" s="29"/>
      <c r="ET19" s="29"/>
      <c r="EU19" s="29"/>
      <c r="EV19" s="29"/>
      <c r="EW19" s="29"/>
      <c r="EX19" s="29"/>
      <c r="EY19" s="29"/>
      <c r="EZ19" s="29"/>
    </row>
    <row r="20" spans="1:156" s="28" customFormat="1">
      <c r="A20" s="45"/>
      <c r="B20" s="167"/>
      <c r="C20" s="45"/>
      <c r="D20" s="167"/>
      <c r="E20" s="266"/>
      <c r="F20" s="168"/>
      <c r="G20" s="45"/>
      <c r="H20" s="45"/>
      <c r="I20" s="45"/>
      <c r="J20" s="52"/>
      <c r="K20" s="45"/>
      <c r="L20" s="45"/>
      <c r="M20" s="45"/>
      <c r="N20" s="45"/>
      <c r="O20" s="53" t="str">
        <f>IF(BY20="","",VLOOKUP(BY20,RMR!$N$77:$Q$81,4,TRUE))</f>
        <v/>
      </c>
      <c r="P20" s="53" t="str">
        <f>IF(CA20="","",VLOOKUP(CA20,RMR!$N$77:$Q$81,4,TRUE))</f>
        <v/>
      </c>
      <c r="Q20" s="157" t="str">
        <f>IF(BY20="","",VLOOKUP(BY20,RMR!$N$77:$Q$81,3,TRUE))</f>
        <v/>
      </c>
      <c r="R20" s="157" t="str">
        <f>IF(CA20="","",VLOOKUP(CA20,RMR!$N$76:$Q$79,3,TRUE))</f>
        <v/>
      </c>
      <c r="S20" s="45"/>
      <c r="T20" s="45"/>
      <c r="U20" s="45"/>
      <c r="V20" s="45"/>
      <c r="W20" s="54"/>
      <c r="X20" s="55"/>
      <c r="Y20" s="54"/>
      <c r="Z20" s="54"/>
      <c r="AA20" s="54"/>
      <c r="AB20" s="55"/>
      <c r="AC20" s="84"/>
      <c r="AD20" s="84"/>
      <c r="AE20" s="84"/>
      <c r="AF20" s="84"/>
      <c r="AG20" s="84"/>
      <c r="AH20" s="85"/>
      <c r="AI20" s="248"/>
      <c r="AJ20" s="82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39"/>
      <c r="BD20" s="28" t="s">
        <v>75</v>
      </c>
      <c r="BW20" s="156" t="str">
        <f>IF(H20="","error",VLOOKUP(H20,RMR!$N$73:$P$74,3,TRUE))</f>
        <v>error</v>
      </c>
      <c r="BX20" s="156" t="str">
        <f>IF(OR(M20=-1,M20=""),"",VLOOKUP(M20,RMR!$A$72:$B$79,2,FALSE))</f>
        <v/>
      </c>
      <c r="BY20" s="162" t="str">
        <f t="shared" si="0"/>
        <v/>
      </c>
      <c r="BZ20" s="156" t="str">
        <f>IF(OR(N20=-1,N20=""),"",VLOOKUP(N20,RMR!$A$73:$B$79,2,FALSE))</f>
        <v/>
      </c>
      <c r="CA20" s="162" t="str">
        <f t="shared" si="1"/>
        <v/>
      </c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N20" s="29"/>
      <c r="EO20" s="29"/>
      <c r="EP20" s="29"/>
      <c r="EQ20" s="29"/>
      <c r="ER20" s="29"/>
      <c r="ES20" s="29"/>
      <c r="ET20" s="29"/>
      <c r="EU20" s="29"/>
      <c r="EV20" s="29"/>
      <c r="EW20" s="29"/>
      <c r="EX20" s="29"/>
      <c r="EY20" s="29"/>
      <c r="EZ20" s="29"/>
    </row>
    <row r="21" spans="1:156" s="28" customFormat="1">
      <c r="A21" s="45"/>
      <c r="B21" s="45"/>
      <c r="C21" s="45"/>
      <c r="D21" s="45"/>
      <c r="E21" s="265"/>
      <c r="F21" s="170"/>
      <c r="G21" s="45"/>
      <c r="H21" s="45"/>
      <c r="I21" s="45"/>
      <c r="J21" s="169"/>
      <c r="K21" s="45"/>
      <c r="L21" s="45"/>
      <c r="M21" s="45"/>
      <c r="N21" s="45"/>
      <c r="O21" s="53" t="str">
        <f>IF(BY21="","",VLOOKUP(BY21,RMR!$N$77:$Q$81,4,TRUE))</f>
        <v/>
      </c>
      <c r="P21" s="53" t="str">
        <f>IF(CA21="","",VLOOKUP(CA21,RMR!$N$77:$Q$81,4,TRUE))</f>
        <v/>
      </c>
      <c r="Q21" s="157" t="str">
        <f>IF(BY21="","",VLOOKUP(BY21,RMR!$N$77:$Q$81,3,TRUE))</f>
        <v/>
      </c>
      <c r="R21" s="157" t="str">
        <f>IF(CA21="","",VLOOKUP(CA21,RMR!$N$76:$Q$79,3,TRUE))</f>
        <v/>
      </c>
      <c r="S21" s="45"/>
      <c r="T21" s="45"/>
      <c r="U21" s="45"/>
      <c r="V21" s="45"/>
      <c r="W21" s="54"/>
      <c r="X21" s="55"/>
      <c r="Y21" s="54"/>
      <c r="Z21" s="54"/>
      <c r="AA21" s="54"/>
      <c r="AB21" s="55"/>
      <c r="AC21" s="84"/>
      <c r="AD21" s="84"/>
      <c r="AE21" s="84"/>
      <c r="AF21" s="84"/>
      <c r="AG21" s="84"/>
      <c r="AH21" s="85"/>
      <c r="AI21" s="248"/>
      <c r="AJ21" s="82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39"/>
      <c r="BC21" s="43"/>
      <c r="BD21" s="340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2"/>
      <c r="BW21" s="156" t="str">
        <f>IF(H21="","error",VLOOKUP(H21,RMR!$N$73:$P$74,3,TRUE))</f>
        <v>error</v>
      </c>
      <c r="BX21" s="156" t="str">
        <f>IF(OR(M21=-1,M21=""),"",VLOOKUP(M21,RMR!$A$72:$B$79,2,FALSE))</f>
        <v/>
      </c>
      <c r="BY21" s="162" t="str">
        <f t="shared" si="0"/>
        <v/>
      </c>
      <c r="BZ21" s="156" t="str">
        <f>IF(OR(N21=-1,N21=""),"",VLOOKUP(N21,RMR!$A$73:$B$79,2,FALSE))</f>
        <v/>
      </c>
      <c r="CA21" s="162" t="str">
        <f t="shared" si="1"/>
        <v/>
      </c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29"/>
      <c r="EP21" s="29"/>
      <c r="EQ21" s="29"/>
      <c r="ER21" s="29"/>
      <c r="ES21" s="29"/>
      <c r="ET21" s="29"/>
      <c r="EU21" s="29"/>
      <c r="EV21" s="29"/>
      <c r="EW21" s="29"/>
      <c r="EX21" s="29"/>
      <c r="EY21" s="29"/>
      <c r="EZ21" s="29"/>
    </row>
    <row r="22" spans="1:156" s="28" customFormat="1">
      <c r="A22" s="45"/>
      <c r="B22" s="45"/>
      <c r="C22" s="45"/>
      <c r="D22" s="45"/>
      <c r="E22" s="265"/>
      <c r="F22" s="170"/>
      <c r="G22" s="45"/>
      <c r="H22" s="45"/>
      <c r="I22" s="45"/>
      <c r="J22" s="52"/>
      <c r="K22" s="45"/>
      <c r="L22" s="45"/>
      <c r="M22" s="45"/>
      <c r="N22" s="45"/>
      <c r="O22" s="53" t="str">
        <f>IF(BY22="","",VLOOKUP(BY22,RMR!$N$77:$Q$81,4,TRUE))</f>
        <v/>
      </c>
      <c r="P22" s="53" t="str">
        <f>IF(CA22="","",VLOOKUP(CA22,RMR!$N$77:$Q$81,4,TRUE))</f>
        <v/>
      </c>
      <c r="Q22" s="157" t="str">
        <f>IF(BY22="","",VLOOKUP(BY22,RMR!$N$77:$Q$81,3,TRUE))</f>
        <v/>
      </c>
      <c r="R22" s="157" t="str">
        <f>IF(CA22="","",VLOOKUP(CA22,RMR!$N$76:$Q$79,3,TRUE))</f>
        <v/>
      </c>
      <c r="S22" s="45"/>
      <c r="T22" s="45"/>
      <c r="U22" s="45"/>
      <c r="V22" s="45"/>
      <c r="W22" s="54"/>
      <c r="X22" s="55"/>
      <c r="Y22" s="54"/>
      <c r="Z22" s="54"/>
      <c r="AA22" s="54"/>
      <c r="AB22" s="55"/>
      <c r="AC22" s="84"/>
      <c r="AD22" s="84"/>
      <c r="AE22" s="84"/>
      <c r="AF22" s="84"/>
      <c r="AG22" s="84"/>
      <c r="AH22" s="85"/>
      <c r="AI22" s="248"/>
      <c r="AJ22" s="82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39"/>
      <c r="BD22" s="343"/>
      <c r="BE22" s="310"/>
      <c r="BF22" s="310"/>
      <c r="BG22" s="310"/>
      <c r="BH22" s="310"/>
      <c r="BI22" s="310"/>
      <c r="BJ22" s="310"/>
      <c r="BK22" s="310"/>
      <c r="BL22" s="310"/>
      <c r="BM22" s="310"/>
      <c r="BN22" s="310"/>
      <c r="BO22" s="310"/>
      <c r="BP22" s="310"/>
      <c r="BQ22" s="310"/>
      <c r="BR22" s="310"/>
      <c r="BS22" s="310"/>
      <c r="BT22" s="344"/>
      <c r="BW22" s="156" t="str">
        <f>IF(H22="","error",VLOOKUP(H22,RMR!$N$73:$P$74,3,TRUE))</f>
        <v>error</v>
      </c>
      <c r="BX22" s="156" t="str">
        <f>IF(OR(M22=-1,M22=""),"",VLOOKUP(M22,RMR!$A$72:$B$79,2,FALSE))</f>
        <v/>
      </c>
      <c r="BY22" s="162" t="str">
        <f t="shared" si="0"/>
        <v/>
      </c>
      <c r="BZ22" s="156" t="str">
        <f>IF(OR(N22=-1,N22=""),"",VLOOKUP(N22,RMR!$A$73:$B$79,2,FALSE))</f>
        <v/>
      </c>
      <c r="CA22" s="162" t="str">
        <f t="shared" si="1"/>
        <v/>
      </c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29"/>
      <c r="EG22" s="29"/>
      <c r="EH22" s="29"/>
      <c r="EI22" s="29"/>
      <c r="EJ22" s="29"/>
      <c r="EK22" s="29"/>
      <c r="EL22" s="29"/>
      <c r="EM22" s="29"/>
      <c r="EN22" s="29"/>
      <c r="EO22" s="29"/>
      <c r="EP22" s="29"/>
      <c r="EQ22" s="29"/>
      <c r="ER22" s="29"/>
      <c r="ES22" s="29"/>
      <c r="ET22" s="29"/>
      <c r="EU22" s="29"/>
      <c r="EV22" s="29"/>
      <c r="EW22" s="29"/>
      <c r="EX22" s="29"/>
      <c r="EY22" s="29"/>
      <c r="EZ22" s="29"/>
    </row>
    <row r="23" spans="1:156" s="28" customFormat="1">
      <c r="A23" s="45"/>
      <c r="B23" s="45"/>
      <c r="C23" s="45"/>
      <c r="D23" s="45"/>
      <c r="E23" s="265"/>
      <c r="F23" s="170"/>
      <c r="G23" s="45"/>
      <c r="H23" s="45"/>
      <c r="I23" s="45"/>
      <c r="J23" s="52"/>
      <c r="K23" s="45"/>
      <c r="L23" s="45"/>
      <c r="M23" s="45"/>
      <c r="N23" s="45"/>
      <c r="O23" s="53" t="str">
        <f>IF(BY23="","",VLOOKUP(BY23,RMR!$N$77:$Q$81,4,TRUE))</f>
        <v/>
      </c>
      <c r="P23" s="53" t="str">
        <f>IF(CA23="","",VLOOKUP(CA23,RMR!$N$77:$Q$81,4,TRUE))</f>
        <v/>
      </c>
      <c r="Q23" s="157" t="str">
        <f>IF(BY23="","",VLOOKUP(BY23,RMR!$N$77:$Q$81,3,TRUE))</f>
        <v/>
      </c>
      <c r="R23" s="157" t="str">
        <f>IF(CA23="","",VLOOKUP(CA23,RMR!$N$76:$Q$79,3,TRUE))</f>
        <v/>
      </c>
      <c r="S23" s="45"/>
      <c r="T23" s="45"/>
      <c r="U23" s="45"/>
      <c r="V23" s="45"/>
      <c r="W23" s="54"/>
      <c r="X23" s="55"/>
      <c r="Y23" s="54"/>
      <c r="Z23" s="54"/>
      <c r="AA23" s="54"/>
      <c r="AB23" s="55"/>
      <c r="AC23" s="84"/>
      <c r="AD23" s="84"/>
      <c r="AE23" s="84"/>
      <c r="AF23" s="84"/>
      <c r="AG23" s="84"/>
      <c r="AH23" s="85"/>
      <c r="AI23" s="248"/>
      <c r="AJ23" s="82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39"/>
      <c r="BD23" s="343"/>
      <c r="BE23" s="310"/>
      <c r="BF23" s="310"/>
      <c r="BG23" s="310"/>
      <c r="BH23" s="310"/>
      <c r="BI23" s="310"/>
      <c r="BJ23" s="310"/>
      <c r="BK23" s="310"/>
      <c r="BL23" s="310"/>
      <c r="BM23" s="310"/>
      <c r="BN23" s="310"/>
      <c r="BO23" s="310"/>
      <c r="BP23" s="310"/>
      <c r="BQ23" s="310"/>
      <c r="BR23" s="310"/>
      <c r="BS23" s="310"/>
      <c r="BT23" s="344"/>
      <c r="BW23" s="156" t="str">
        <f>IF(H23="","error",VLOOKUP(H23,RMR!$N$73:$P$74,3,TRUE))</f>
        <v>error</v>
      </c>
      <c r="BX23" s="156" t="str">
        <f>IF(OR(M23=-1,M23=""),"",VLOOKUP(M23,RMR!$A$72:$B$79,2,FALSE))</f>
        <v/>
      </c>
      <c r="BY23" s="162" t="str">
        <f t="shared" si="0"/>
        <v/>
      </c>
      <c r="BZ23" s="156" t="str">
        <f>IF(OR(N23=-1,N23=""),"",VLOOKUP(N23,RMR!$A$73:$B$79,2,FALSE))</f>
        <v/>
      </c>
      <c r="CA23" s="162" t="str">
        <f t="shared" si="1"/>
        <v/>
      </c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  <c r="DW23" s="29"/>
      <c r="DX23" s="29"/>
      <c r="DY23" s="29"/>
      <c r="DZ23" s="29"/>
      <c r="EA23" s="29"/>
      <c r="EB23" s="29"/>
      <c r="EC23" s="29"/>
      <c r="ED23" s="29"/>
      <c r="EE23" s="29"/>
      <c r="EF23" s="29"/>
      <c r="EG23" s="29"/>
      <c r="EH23" s="29"/>
      <c r="EI23" s="29"/>
      <c r="EJ23" s="29"/>
      <c r="EK23" s="29"/>
      <c r="EL23" s="29"/>
      <c r="EM23" s="29"/>
      <c r="EN23" s="29"/>
      <c r="EO23" s="29"/>
      <c r="EP23" s="29"/>
      <c r="EQ23" s="29"/>
      <c r="ER23" s="29"/>
      <c r="ES23" s="29"/>
      <c r="ET23" s="29"/>
      <c r="EU23" s="29"/>
      <c r="EV23" s="29"/>
      <c r="EW23" s="29"/>
      <c r="EX23" s="29"/>
      <c r="EY23" s="29"/>
      <c r="EZ23" s="29"/>
    </row>
    <row r="24" spans="1:156" s="28" customFormat="1">
      <c r="A24" s="45"/>
      <c r="B24" s="45"/>
      <c r="C24" s="45"/>
      <c r="D24" s="45"/>
      <c r="E24" s="265"/>
      <c r="F24" s="170"/>
      <c r="G24" s="45"/>
      <c r="H24" s="45"/>
      <c r="I24" s="45"/>
      <c r="J24" s="169"/>
      <c r="K24" s="45"/>
      <c r="L24" s="45"/>
      <c r="M24" s="45"/>
      <c r="N24" s="45"/>
      <c r="O24" s="53" t="str">
        <f>IF(BY24="","",VLOOKUP(BY24,RMR!$N$77:$Q$81,4,TRUE))</f>
        <v/>
      </c>
      <c r="P24" s="53" t="str">
        <f>IF(CA24="","",VLOOKUP(CA24,RMR!$N$77:$Q$81,4,TRUE))</f>
        <v/>
      </c>
      <c r="Q24" s="157" t="str">
        <f>IF(BY24="","",VLOOKUP(BY24,RMR!$N$77:$Q$81,3,TRUE))</f>
        <v/>
      </c>
      <c r="R24" s="157" t="str">
        <f>IF(CA24="","",VLOOKUP(CA24,RMR!$N$76:$Q$79,3,TRUE))</f>
        <v/>
      </c>
      <c r="S24" s="45"/>
      <c r="T24" s="45"/>
      <c r="U24" s="45"/>
      <c r="V24" s="45"/>
      <c r="W24" s="54"/>
      <c r="X24" s="55"/>
      <c r="Y24" s="54"/>
      <c r="Z24" s="54"/>
      <c r="AA24" s="54"/>
      <c r="AB24" s="55"/>
      <c r="AC24" s="84"/>
      <c r="AD24" s="84"/>
      <c r="AE24" s="84"/>
      <c r="AF24" s="84"/>
      <c r="AG24" s="84"/>
      <c r="AH24" s="85"/>
      <c r="AI24" s="183"/>
      <c r="AJ24" s="82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39"/>
      <c r="BD24" s="343"/>
      <c r="BE24" s="310"/>
      <c r="BF24" s="310"/>
      <c r="BG24" s="310"/>
      <c r="BH24" s="310"/>
      <c r="BI24" s="310"/>
      <c r="BJ24" s="310"/>
      <c r="BK24" s="310"/>
      <c r="BL24" s="310"/>
      <c r="BM24" s="310"/>
      <c r="BN24" s="310"/>
      <c r="BO24" s="310"/>
      <c r="BP24" s="310"/>
      <c r="BQ24" s="310"/>
      <c r="BR24" s="310"/>
      <c r="BS24" s="310"/>
      <c r="BT24" s="344"/>
      <c r="BW24" s="156" t="str">
        <f>IF(H24="","error",VLOOKUP(H24,RMR!$N$73:$P$74,3,TRUE))</f>
        <v>error</v>
      </c>
      <c r="BX24" s="156" t="str">
        <f>IF(OR(M24=-1,M24=""),"",VLOOKUP(M24,RMR!$A$72:$B$79,2,FALSE))</f>
        <v/>
      </c>
      <c r="BY24" s="162" t="str">
        <f t="shared" si="0"/>
        <v/>
      </c>
      <c r="BZ24" s="156" t="str">
        <f>IF(OR(N24=-1,N24=""),"",VLOOKUP(N24,RMR!$A$73:$B$79,2,FALSE))</f>
        <v/>
      </c>
      <c r="CA24" s="162" t="str">
        <f t="shared" si="1"/>
        <v/>
      </c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  <c r="EG24" s="29"/>
      <c r="EH24" s="29"/>
      <c r="EI24" s="29"/>
      <c r="EJ24" s="29"/>
      <c r="EK24" s="29"/>
      <c r="EL24" s="29"/>
      <c r="EM24" s="29"/>
      <c r="EN24" s="29"/>
      <c r="EO24" s="29"/>
      <c r="EP24" s="29"/>
      <c r="EQ24" s="29"/>
      <c r="ER24" s="29"/>
      <c r="ES24" s="29"/>
      <c r="ET24" s="29"/>
      <c r="EU24" s="29"/>
      <c r="EV24" s="29"/>
      <c r="EW24" s="29"/>
      <c r="EX24" s="29"/>
      <c r="EY24" s="29"/>
      <c r="EZ24" s="29"/>
    </row>
    <row r="25" spans="1:156" s="28" customFormat="1">
      <c r="A25" s="45"/>
      <c r="B25" s="45"/>
      <c r="C25" s="45"/>
      <c r="D25" s="45"/>
      <c r="E25" s="265"/>
      <c r="F25" s="170"/>
      <c r="G25" s="45"/>
      <c r="H25" s="45"/>
      <c r="I25" s="45"/>
      <c r="J25" s="52"/>
      <c r="K25" s="45"/>
      <c r="L25" s="45"/>
      <c r="M25" s="45"/>
      <c r="N25" s="45"/>
      <c r="O25" s="53" t="str">
        <f>IF(BY25="","",VLOOKUP(BY25,RMR!$N$77:$Q$81,4,TRUE))</f>
        <v/>
      </c>
      <c r="P25" s="53" t="str">
        <f>IF(CA25="","",VLOOKUP(CA25,RMR!$N$77:$Q$81,4,TRUE))</f>
        <v/>
      </c>
      <c r="Q25" s="157" t="str">
        <f>IF(BY25="","",VLOOKUP(BY25,RMR!$N$77:$Q$81,3,TRUE))</f>
        <v/>
      </c>
      <c r="R25" s="157" t="str">
        <f>IF(CA25="","",VLOOKUP(CA25,RMR!$N$76:$Q$79,3,TRUE))</f>
        <v/>
      </c>
      <c r="S25" s="45"/>
      <c r="T25" s="45"/>
      <c r="U25" s="45"/>
      <c r="V25" s="45"/>
      <c r="W25" s="54"/>
      <c r="X25" s="55"/>
      <c r="Y25" s="54"/>
      <c r="Z25" s="54"/>
      <c r="AA25" s="54"/>
      <c r="AB25" s="55"/>
      <c r="AC25" s="84"/>
      <c r="AD25" s="84"/>
      <c r="AE25" s="84"/>
      <c r="AF25" s="84"/>
      <c r="AG25" s="84"/>
      <c r="AH25" s="85"/>
      <c r="AI25" s="183"/>
      <c r="AJ25" s="82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39"/>
      <c r="BD25" s="343"/>
      <c r="BE25" s="310"/>
      <c r="BF25" s="310"/>
      <c r="BG25" s="310"/>
      <c r="BH25" s="310"/>
      <c r="BI25" s="310"/>
      <c r="BJ25" s="310"/>
      <c r="BK25" s="310"/>
      <c r="BL25" s="310"/>
      <c r="BM25" s="310"/>
      <c r="BN25" s="310"/>
      <c r="BO25" s="310"/>
      <c r="BP25" s="310"/>
      <c r="BQ25" s="310"/>
      <c r="BR25" s="310"/>
      <c r="BS25" s="310"/>
      <c r="BT25" s="344"/>
      <c r="BW25" s="156" t="str">
        <f>IF(H25="","error",VLOOKUP(H25,RMR!$N$73:$P$74,3,TRUE))</f>
        <v>error</v>
      </c>
      <c r="BX25" s="156" t="str">
        <f>IF(OR(M25=-1,M25=""),"",VLOOKUP(M25,RMR!$A$72:$B$79,2,FALSE))</f>
        <v/>
      </c>
      <c r="BY25" s="162" t="str">
        <f t="shared" si="0"/>
        <v/>
      </c>
      <c r="BZ25" s="156" t="str">
        <f>IF(OR(N25=-1,N25=""),"",VLOOKUP(N25,RMR!$A$73:$B$79,2,FALSE))</f>
        <v/>
      </c>
      <c r="CA25" s="162" t="str">
        <f t="shared" si="1"/>
        <v/>
      </c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  <c r="EY25" s="29"/>
      <c r="EZ25" s="29"/>
    </row>
    <row r="26" spans="1:156" s="28" customFormat="1">
      <c r="A26" s="45"/>
      <c r="B26" s="45"/>
      <c r="C26" s="45"/>
      <c r="D26" s="45"/>
      <c r="E26" s="265"/>
      <c r="F26" s="170"/>
      <c r="G26" s="45"/>
      <c r="H26" s="45"/>
      <c r="I26" s="45"/>
      <c r="J26" s="52"/>
      <c r="K26" s="45"/>
      <c r="L26" s="45"/>
      <c r="M26" s="45"/>
      <c r="N26" s="45"/>
      <c r="O26" s="53" t="str">
        <f>IF(BY26="","",VLOOKUP(BY26,RMR!$N$77:$Q$81,4,TRUE))</f>
        <v/>
      </c>
      <c r="P26" s="53" t="str">
        <f>IF(CA26="","",VLOOKUP(CA26,RMR!$N$77:$Q$81,4,TRUE))</f>
        <v/>
      </c>
      <c r="Q26" s="157" t="str">
        <f>IF(BY26="","",VLOOKUP(BY26,RMR!$N$77:$Q$81,3,TRUE))</f>
        <v/>
      </c>
      <c r="R26" s="157" t="str">
        <f>IF(CA26="","",VLOOKUP(CA26,RMR!$N$76:$Q$79,3,TRUE))</f>
        <v/>
      </c>
      <c r="S26" s="45"/>
      <c r="T26" s="45"/>
      <c r="U26" s="45"/>
      <c r="V26" s="45"/>
      <c r="W26" s="54"/>
      <c r="X26" s="55"/>
      <c r="Y26" s="54"/>
      <c r="Z26" s="54"/>
      <c r="AA26" s="54"/>
      <c r="AB26" s="55"/>
      <c r="AC26" s="84"/>
      <c r="AD26" s="84"/>
      <c r="AE26" s="84"/>
      <c r="AF26" s="84"/>
      <c r="AG26" s="84"/>
      <c r="AH26" s="85"/>
      <c r="AI26" s="183"/>
      <c r="AJ26" s="82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39"/>
      <c r="BD26" s="343"/>
      <c r="BE26" s="310"/>
      <c r="BF26" s="310"/>
      <c r="BG26" s="310"/>
      <c r="BH26" s="310"/>
      <c r="BI26" s="310"/>
      <c r="BJ26" s="310"/>
      <c r="BK26" s="310"/>
      <c r="BL26" s="310"/>
      <c r="BM26" s="310"/>
      <c r="BN26" s="310"/>
      <c r="BO26" s="310"/>
      <c r="BP26" s="310"/>
      <c r="BQ26" s="310"/>
      <c r="BR26" s="310"/>
      <c r="BS26" s="310"/>
      <c r="BT26" s="344"/>
      <c r="BW26" s="156" t="str">
        <f>IF(H26="","error",VLOOKUP(H26,RMR!$N$73:$P$74,3,TRUE))</f>
        <v>error</v>
      </c>
      <c r="BX26" s="156" t="str">
        <f>IF(OR(M26=-1,M26=""),"",VLOOKUP(M26,RMR!$A$72:$B$79,2,FALSE))</f>
        <v/>
      </c>
      <c r="BY26" s="162" t="str">
        <f t="shared" si="0"/>
        <v/>
      </c>
      <c r="BZ26" s="156" t="str">
        <f>IF(OR(N26=-1,N26=""),"",VLOOKUP(N26,RMR!$A$73:$B$79,2,FALSE))</f>
        <v/>
      </c>
      <c r="CA26" s="162" t="str">
        <f t="shared" si="1"/>
        <v/>
      </c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29"/>
      <c r="EZ26" s="29"/>
    </row>
    <row r="27" spans="1:156" s="28" customFormat="1">
      <c r="A27" s="45"/>
      <c r="B27" s="45"/>
      <c r="C27" s="45"/>
      <c r="D27" s="65"/>
      <c r="E27" s="267"/>
      <c r="F27" s="66"/>
      <c r="G27" s="45"/>
      <c r="H27" s="45"/>
      <c r="I27" s="45"/>
      <c r="J27" s="52"/>
      <c r="K27" s="45"/>
      <c r="L27" s="45"/>
      <c r="M27" s="45"/>
      <c r="N27" s="45"/>
      <c r="O27" s="53" t="str">
        <f>IF(BY27="","",VLOOKUP(BY27,RMR!$N$77:$Q$81,4,TRUE))</f>
        <v/>
      </c>
      <c r="P27" s="53" t="str">
        <f>IF(CA27="","",VLOOKUP(CA27,RMR!$N$77:$Q$81,4,TRUE))</f>
        <v/>
      </c>
      <c r="Q27" s="157" t="str">
        <f>IF(BY27="","",VLOOKUP(BY27,RMR!$N$77:$Q$81,3,TRUE))</f>
        <v/>
      </c>
      <c r="R27" s="157" t="str">
        <f>IF(CA27="","",VLOOKUP(CA27,RMR!$N$76:$Q$79,3,TRUE))</f>
        <v/>
      </c>
      <c r="S27" s="45"/>
      <c r="T27" s="45"/>
      <c r="U27" s="45"/>
      <c r="V27" s="45"/>
      <c r="W27" s="54"/>
      <c r="X27" s="55"/>
      <c r="Y27" s="54"/>
      <c r="Z27" s="54"/>
      <c r="AA27" s="54"/>
      <c r="AB27" s="55"/>
      <c r="AC27" s="84"/>
      <c r="AD27" s="84"/>
      <c r="AE27" s="84"/>
      <c r="AF27" s="84"/>
      <c r="AG27" s="84"/>
      <c r="AH27" s="85"/>
      <c r="AI27" s="181"/>
      <c r="AJ27" s="72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39"/>
      <c r="BD27" s="343"/>
      <c r="BE27" s="310"/>
      <c r="BF27" s="310"/>
      <c r="BG27" s="310"/>
      <c r="BH27" s="310"/>
      <c r="BI27" s="310"/>
      <c r="BJ27" s="310"/>
      <c r="BK27" s="310"/>
      <c r="BL27" s="310"/>
      <c r="BM27" s="310"/>
      <c r="BN27" s="310"/>
      <c r="BO27" s="310"/>
      <c r="BP27" s="310"/>
      <c r="BQ27" s="310"/>
      <c r="BR27" s="310"/>
      <c r="BS27" s="310"/>
      <c r="BT27" s="344"/>
      <c r="BW27" s="156" t="str">
        <f>IF(H27="","error",VLOOKUP(H27,RMR!$N$73:$P$74,3,TRUE))</f>
        <v>error</v>
      </c>
      <c r="BX27" s="156" t="str">
        <f>IF(OR(M27=-1,M27=""),"",VLOOKUP(M27,RMR!$A$72:$B$79,2,FALSE))</f>
        <v/>
      </c>
      <c r="BY27" s="162" t="str">
        <f t="shared" si="0"/>
        <v/>
      </c>
      <c r="BZ27" s="156" t="str">
        <f>IF(OR(N27=-1,N27=""),"",VLOOKUP(N27,RMR!$A$73:$B$79,2,FALSE))</f>
        <v/>
      </c>
      <c r="CA27" s="162" t="str">
        <f t="shared" si="1"/>
        <v/>
      </c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</row>
    <row r="28" spans="1:156" s="28" customFormat="1" ht="13.5" customHeight="1" thickBot="1">
      <c r="A28" s="45"/>
      <c r="B28" s="45"/>
      <c r="C28" s="45"/>
      <c r="D28" s="65"/>
      <c r="E28" s="267"/>
      <c r="F28" s="66"/>
      <c r="G28" s="45"/>
      <c r="H28" s="45"/>
      <c r="I28" s="45"/>
      <c r="J28" s="52"/>
      <c r="K28" s="45"/>
      <c r="L28" s="45"/>
      <c r="M28" s="45"/>
      <c r="N28" s="45"/>
      <c r="O28" s="53" t="str">
        <f>IF(BY28="","",VLOOKUP(BY28,RMR!$N$77:$Q$81,4,TRUE))</f>
        <v/>
      </c>
      <c r="P28" s="53" t="str">
        <f>IF(CA28="","",VLOOKUP(CA28,RMR!$N$77:$Q$81,4,TRUE))</f>
        <v/>
      </c>
      <c r="Q28" s="157" t="str">
        <f>IF(BY28="","",VLOOKUP(BY28,RMR!$N$77:$Q$81,3,TRUE))</f>
        <v/>
      </c>
      <c r="R28" s="157" t="str">
        <f>IF(CA28="","",VLOOKUP(CA28,RMR!$N$76:$Q$79,3,TRUE))</f>
        <v/>
      </c>
      <c r="S28" s="45"/>
      <c r="T28" s="45"/>
      <c r="U28" s="45"/>
      <c r="V28" s="45"/>
      <c r="W28" s="54"/>
      <c r="X28" s="55"/>
      <c r="Y28" s="54"/>
      <c r="Z28" s="54"/>
      <c r="AA28" s="54"/>
      <c r="AB28" s="55"/>
      <c r="AC28" s="84"/>
      <c r="AD28" s="84"/>
      <c r="AE28" s="84"/>
      <c r="AF28" s="84"/>
      <c r="AG28" s="84"/>
      <c r="AH28" s="85"/>
      <c r="AI28" s="181"/>
      <c r="AJ28" s="76"/>
      <c r="AK28" s="77"/>
      <c r="AL28" s="78"/>
      <c r="AM28" s="78"/>
      <c r="AN28" s="78"/>
      <c r="AO28" s="78"/>
      <c r="AP28" s="78"/>
      <c r="AQ28" s="78"/>
      <c r="AR28" s="78"/>
      <c r="AS28" s="78"/>
      <c r="AT28" s="78"/>
      <c r="AU28" s="41"/>
      <c r="AV28" s="78"/>
      <c r="AW28" s="78"/>
      <c r="AX28" s="78"/>
      <c r="AY28" s="78"/>
      <c r="AZ28" s="79"/>
      <c r="BA28" s="79"/>
      <c r="BB28" s="42"/>
      <c r="BD28" s="345"/>
      <c r="BE28" s="346"/>
      <c r="BF28" s="346"/>
      <c r="BG28" s="346"/>
      <c r="BH28" s="346"/>
      <c r="BI28" s="346"/>
      <c r="BJ28" s="346"/>
      <c r="BK28" s="346"/>
      <c r="BL28" s="346"/>
      <c r="BM28" s="346"/>
      <c r="BN28" s="346"/>
      <c r="BO28" s="346"/>
      <c r="BP28" s="346"/>
      <c r="BQ28" s="346"/>
      <c r="BR28" s="346"/>
      <c r="BS28" s="346"/>
      <c r="BT28" s="347"/>
      <c r="BW28" s="156" t="str">
        <f>IF(H28="","error",VLOOKUP(H28,RMR!$N$73:$P$74,3,TRUE))</f>
        <v>error</v>
      </c>
      <c r="BX28" s="156" t="str">
        <f>IF(OR(M28=-1,M28=""),"",VLOOKUP(M28,RMR!$A$72:$B$79,2,FALSE))</f>
        <v/>
      </c>
      <c r="BY28" s="162" t="str">
        <f t="shared" si="0"/>
        <v/>
      </c>
      <c r="BZ28" s="156" t="str">
        <f>IF(OR(N28=-1,N28=""),"",VLOOKUP(N28,RMR!$A$73:$B$79,2,FALSE))</f>
        <v/>
      </c>
      <c r="CA28" s="162" t="str">
        <f t="shared" si="1"/>
        <v/>
      </c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  <c r="EP28" s="29"/>
      <c r="EQ28" s="29"/>
      <c r="ER28" s="29"/>
      <c r="ES28" s="29"/>
      <c r="ET28" s="29"/>
      <c r="EU28" s="29"/>
      <c r="EV28" s="29"/>
      <c r="EW28" s="29"/>
      <c r="EX28" s="29"/>
      <c r="EY28" s="29"/>
      <c r="EZ28" s="29"/>
    </row>
    <row r="29" spans="1:156" s="28" customFormat="1">
      <c r="H29" s="43" t="s">
        <v>76</v>
      </c>
      <c r="J29" s="57" t="e">
        <f>AVERAGE(J15:J17)</f>
        <v>#DIV/0!</v>
      </c>
      <c r="AI29" s="174"/>
      <c r="AJ29" s="30"/>
      <c r="AK29" s="63"/>
      <c r="AL29" s="30"/>
      <c r="AM29" s="30"/>
      <c r="AN29" s="30"/>
      <c r="AO29" s="30"/>
      <c r="AP29" s="30"/>
      <c r="AQ29" s="30"/>
      <c r="AR29" s="30"/>
      <c r="AS29" s="30"/>
      <c r="AT29" s="30"/>
      <c r="AV29" s="30"/>
      <c r="AW29" s="30"/>
      <c r="AX29" s="30"/>
      <c r="AY29" s="30"/>
      <c r="AZ29" s="31"/>
      <c r="BA29" s="31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  <c r="EP29" s="29"/>
      <c r="EQ29" s="29"/>
      <c r="ER29" s="29"/>
      <c r="ES29" s="29"/>
      <c r="ET29" s="29"/>
      <c r="EU29" s="29"/>
      <c r="EV29" s="29"/>
      <c r="EW29" s="29"/>
      <c r="EX29" s="29"/>
      <c r="EY29" s="29"/>
      <c r="EZ29" s="29"/>
    </row>
    <row r="30" spans="1:156" s="28" customFormat="1">
      <c r="H30" s="43" t="s">
        <v>77</v>
      </c>
      <c r="J30" s="57" t="e">
        <f>AVERAGE(J18:J20)</f>
        <v>#DIV/0!</v>
      </c>
      <c r="AI30" s="174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V30" s="30"/>
      <c r="AW30" s="30"/>
      <c r="AX30" s="30"/>
      <c r="AY30" s="30"/>
      <c r="AZ30" s="31"/>
      <c r="BA30" s="31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  <c r="EP30" s="29"/>
      <c r="EQ30" s="29"/>
      <c r="ER30" s="29"/>
      <c r="ES30" s="29"/>
      <c r="ET30" s="29"/>
      <c r="EU30" s="29"/>
      <c r="EV30" s="29"/>
      <c r="EW30" s="29"/>
      <c r="EX30" s="29"/>
      <c r="EY30" s="29"/>
      <c r="EZ30" s="29"/>
    </row>
    <row r="31" spans="1:156" s="28" customFormat="1">
      <c r="H31" s="43" t="s">
        <v>78</v>
      </c>
      <c r="J31" s="64" t="e">
        <f>AVERAGE(J21:J23)</f>
        <v>#DIV/0!</v>
      </c>
      <c r="K31" s="29"/>
      <c r="L31" s="29"/>
      <c r="M31" s="44" t="s">
        <v>79</v>
      </c>
      <c r="N31" s="44" t="e">
        <f>((1/J29)+(1/J30)+(1/J31))</f>
        <v>#DIV/0!</v>
      </c>
      <c r="AI31" s="174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V31" s="30"/>
      <c r="AW31" s="30"/>
      <c r="AX31" s="30"/>
      <c r="AY31" s="30"/>
      <c r="AZ31" s="31"/>
      <c r="BA31" s="31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  <c r="EY31" s="29"/>
      <c r="EZ31" s="29"/>
    </row>
  </sheetData>
  <mergeCells count="78">
    <mergeCell ref="AY5:AY10"/>
    <mergeCell ref="BD21:BT28"/>
    <mergeCell ref="P10:P14"/>
    <mergeCell ref="BA5:BA10"/>
    <mergeCell ref="B5:C5"/>
    <mergeCell ref="D5:E5"/>
    <mergeCell ref="T10:T14"/>
    <mergeCell ref="V10:V14"/>
    <mergeCell ref="S10:S14"/>
    <mergeCell ref="AN5:AN10"/>
    <mergeCell ref="P5:S5"/>
    <mergeCell ref="AP5:AP10"/>
    <mergeCell ref="AZ5:AZ10"/>
    <mergeCell ref="AT5:AT10"/>
    <mergeCell ref="D10:D14"/>
    <mergeCell ref="F10:F14"/>
    <mergeCell ref="AX5:AX10"/>
    <mergeCell ref="F4:G4"/>
    <mergeCell ref="Q10:Q14"/>
    <mergeCell ref="AC10:AC14"/>
    <mergeCell ref="L4:N4"/>
    <mergeCell ref="AE10:AE14"/>
    <mergeCell ref="U10:U14"/>
    <mergeCell ref="AK5:AK10"/>
    <mergeCell ref="AM5:AM10"/>
    <mergeCell ref="R10:R14"/>
    <mergeCell ref="J10:J14"/>
    <mergeCell ref="AW5:AW10"/>
    <mergeCell ref="P4:S4"/>
    <mergeCell ref="AG10:AG14"/>
    <mergeCell ref="I5:J5"/>
    <mergeCell ref="AA10:AA14"/>
    <mergeCell ref="C10:C14"/>
    <mergeCell ref="U4:V4"/>
    <mergeCell ref="B10:B14"/>
    <mergeCell ref="I6:J6"/>
    <mergeCell ref="U6:V6"/>
    <mergeCell ref="F6:G6"/>
    <mergeCell ref="F5:G5"/>
    <mergeCell ref="I4:K4"/>
    <mergeCell ref="A4:C4"/>
    <mergeCell ref="U7:V7"/>
    <mergeCell ref="H10:H14"/>
    <mergeCell ref="M10:M14"/>
    <mergeCell ref="B6:C6"/>
    <mergeCell ref="E10:E14"/>
    <mergeCell ref="G10:G14"/>
    <mergeCell ref="A10:A14"/>
    <mergeCell ref="BB5:BB10"/>
    <mergeCell ref="D4:E4"/>
    <mergeCell ref="P6:S6"/>
    <mergeCell ref="AJ5:AJ10"/>
    <mergeCell ref="AL5:AL10"/>
    <mergeCell ref="AV5:AV10"/>
    <mergeCell ref="U5:V5"/>
    <mergeCell ref="AK4:AL4"/>
    <mergeCell ref="AB10:AB14"/>
    <mergeCell ref="X10:X14"/>
    <mergeCell ref="AC9:AH9"/>
    <mergeCell ref="Z10:Z14"/>
    <mergeCell ref="AO5:AO10"/>
    <mergeCell ref="AQ5:AQ10"/>
    <mergeCell ref="AR5:AR10"/>
    <mergeCell ref="Y10:Y14"/>
    <mergeCell ref="N10:N14"/>
    <mergeCell ref="AS5:AS10"/>
    <mergeCell ref="AU5:AU10"/>
    <mergeCell ref="L10:L14"/>
    <mergeCell ref="D6:E6"/>
    <mergeCell ref="I10:I14"/>
    <mergeCell ref="K10:K14"/>
    <mergeCell ref="W9:AB9"/>
    <mergeCell ref="W10:W14"/>
    <mergeCell ref="O10:O14"/>
    <mergeCell ref="AH10:AH14"/>
    <mergeCell ref="AD10:AD14"/>
    <mergeCell ref="AF10:AF14"/>
    <mergeCell ref="P7:S7"/>
  </mergeCells>
  <dataValidations count="2">
    <dataValidation type="whole" allowBlank="1" showInputMessage="1" showErrorMessage="1" errorTitle="RMR (0-100)" error="Verificar" sqref="AZ11:AZ12" xr:uid="{00000000-0002-0000-0000-000000000000}">
      <formula1>0</formula1>
      <formula2>100</formula2>
    </dataValidation>
    <dataValidation allowBlank="1" showInputMessage="1" showErrorMessage="1" errorTitle="RQD" error="Valor (0-100)" sqref="AT11:AT12" xr:uid="{00000000-0002-0000-0000-000001000000}"/>
  </dataValidations>
  <printOptions horizontalCentered="1" verticalCentered="1"/>
  <pageMargins left="0.47244094488188981" right="0.11811023622047249" top="0.78740157480314965" bottom="0" header="0.27559055118110237" footer="0.23622047244094491"/>
  <pageSetup paperSize="9" scale="10" orientation="landscape"/>
  <headerFooter alignWithMargins="0">
    <oddHeader>&amp;L&amp;G&amp;C&amp;"Arial,Negrita"&amp;14 MAPEO GEOTECNICO - SUPERINTENDENCIA DE GEOTECNIA E HIDROGEOLOGIA&amp;R&amp;G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R1"/>
  <sheetViews>
    <sheetView workbookViewId="0"/>
  </sheetViews>
  <sheetFormatPr baseColWidth="10" defaultColWidth="9.140625" defaultRowHeight="12.75"/>
  <cols>
    <col min="1" max="1" width="6.28515625" style="257" customWidth="1"/>
    <col min="2" max="2" width="6.28515625" style="257" hidden="1" customWidth="1"/>
    <col min="3" max="3" width="8.7109375" style="257" customWidth="1"/>
    <col min="5" max="5" width="8.7109375" style="257" hidden="1" customWidth="1"/>
    <col min="6" max="6" width="15.28515625" style="257" customWidth="1"/>
    <col min="9" max="9" width="15.28515625" style="257" hidden="1" customWidth="1"/>
    <col min="10" max="10" width="15.28515625" style="257" customWidth="1"/>
    <col min="12" max="12" width="8.5703125" style="257" customWidth="1"/>
    <col min="13" max="14" width="11.7109375" style="257" customWidth="1"/>
    <col min="15" max="15" width="11.7109375" style="257" hidden="1" customWidth="1"/>
    <col min="16" max="16" width="9.7109375" style="257" customWidth="1"/>
    <col min="17" max="17" width="6.28515625" style="257" hidden="1" customWidth="1"/>
    <col min="18" max="18" width="11.28515625" style="257" customWidth="1"/>
    <col min="19" max="19" width="11.28515625" style="257" hidden="1" customWidth="1"/>
    <col min="20" max="20" width="13.28515625" style="257" customWidth="1"/>
    <col min="21" max="21" width="13.28515625" style="257" hidden="1" customWidth="1"/>
    <col min="22" max="22" width="13.7109375" style="257" customWidth="1"/>
    <col min="23" max="23" width="14.7109375" style="257" customWidth="1"/>
    <col min="24" max="24" width="14.7109375" style="257" hidden="1" customWidth="1"/>
    <col min="25" max="25" width="10.28515625" style="257" customWidth="1"/>
    <col min="27" max="27" width="7.7109375" style="257" customWidth="1"/>
    <col min="28" max="28" width="10.28515625" style="257" customWidth="1"/>
    <col min="29" max="29" width="7.7109375" style="257" customWidth="1"/>
    <col min="30" max="30" width="9.7109375" style="257" customWidth="1"/>
    <col min="32" max="32" width="7.7109375" style="257" customWidth="1"/>
    <col min="34" max="34" width="10.28515625" style="257" customWidth="1"/>
    <col min="35" max="35" width="9.7109375" style="257" customWidth="1"/>
    <col min="36" max="36" width="10.28515625" style="257" customWidth="1"/>
    <col min="39" max="39" width="7.7109375" style="257" customWidth="1"/>
    <col min="40" max="40" width="8" style="257" customWidth="1"/>
    <col min="42" max="42" width="8" style="257" hidden="1" customWidth="1"/>
    <col min="43" max="43" width="6.7109375" style="257" customWidth="1"/>
    <col min="55" max="56" width="6.7109375" style="257" customWidth="1"/>
    <col min="58" max="58" width="6.7109375" style="257" hidden="1" customWidth="1"/>
    <col min="59" max="59" width="14.28515625" style="257" customWidth="1"/>
    <col min="60" max="60" width="14.28515625" style="257" hidden="1" customWidth="1"/>
    <col min="61" max="61" width="15.42578125" style="257" customWidth="1"/>
    <col min="62" max="62" width="15.42578125" style="257" hidden="1" customWidth="1"/>
    <col min="63" max="63" width="15.7109375" style="257" customWidth="1"/>
    <col min="64" max="64" width="10.28515625" style="257" customWidth="1"/>
    <col min="65" max="65" width="15.28515625" style="257" customWidth="1"/>
    <col min="66" max="66" width="10.28515625" style="257" customWidth="1"/>
    <col min="67" max="67" width="11.42578125" style="257" customWidth="1"/>
    <col min="68" max="68" width="11" style="257" customWidth="1"/>
    <col min="69" max="69" width="16" style="257" customWidth="1"/>
    <col min="70" max="70" width="6.28515625" style="257" customWidth="1"/>
    <col min="71" max="71" width="9.7109375" style="257" customWidth="1"/>
    <col min="72" max="72" width="13.28515625" style="257" customWidth="1"/>
    <col min="73" max="73" width="14.28515625" style="257" customWidth="1"/>
    <col min="74" max="74" width="13.7109375" style="257" customWidth="1"/>
    <col min="75" max="75" width="13.5703125" style="257" customWidth="1"/>
    <col min="80" max="80" width="6.28515625" style="257" customWidth="1"/>
    <col min="81" max="81" width="13.5703125" style="257" customWidth="1"/>
    <col min="84" max="84" width="13.5703125" style="257" hidden="1" customWidth="1"/>
    <col min="85" max="85" width="11.42578125" style="257" customWidth="1"/>
    <col min="86" max="86" width="11.42578125" style="257" hidden="1" customWidth="1"/>
    <col min="87" max="87" width="16.5703125" style="257" customWidth="1"/>
    <col min="88" max="88" width="11.42578125" style="257" hidden="1" customWidth="1"/>
    <col min="89" max="89" width="16.28515625" style="257" customWidth="1"/>
    <col min="90" max="90" width="16.28515625" style="257" hidden="1" customWidth="1"/>
    <col min="91" max="91" width="8.7109375" style="257" customWidth="1"/>
    <col min="92" max="92" width="8.7109375" style="257" hidden="1" customWidth="1"/>
    <col min="93" max="93" width="8.7109375" style="257" customWidth="1"/>
    <col min="94" max="94" width="0" style="257" hidden="1"/>
    <col min="95" max="95" width="8.7109375" style="257" customWidth="1"/>
    <col min="96" max="96" width="11.42578125" style="257" customWidth="1"/>
  </cols>
  <sheetData>
    <row r="1" spans="1:96" ht="99" customHeight="1">
      <c r="A1" s="269" t="s">
        <v>80</v>
      </c>
      <c r="B1" s="270"/>
      <c r="C1" s="271" t="s">
        <v>81</v>
      </c>
      <c r="D1" s="271" t="s">
        <v>81</v>
      </c>
      <c r="E1" s="272"/>
      <c r="F1" s="273" t="s">
        <v>82</v>
      </c>
      <c r="G1" s="273" t="s">
        <v>83</v>
      </c>
      <c r="H1" s="273" t="s">
        <v>84</v>
      </c>
      <c r="I1" s="274"/>
      <c r="J1" s="275" t="s">
        <v>85</v>
      </c>
      <c r="K1" s="275" t="s">
        <v>86</v>
      </c>
      <c r="L1" s="276" t="s">
        <v>84</v>
      </c>
      <c r="M1" s="277" t="s">
        <v>87</v>
      </c>
      <c r="N1" s="277" t="s">
        <v>88</v>
      </c>
      <c r="O1" s="278"/>
      <c r="P1" s="271" t="s">
        <v>89</v>
      </c>
      <c r="Q1" s="279"/>
      <c r="R1" s="271" t="s">
        <v>90</v>
      </c>
      <c r="S1" s="279"/>
      <c r="T1" s="280" t="s">
        <v>91</v>
      </c>
      <c r="U1" s="279"/>
      <c r="V1" s="281" t="s">
        <v>92</v>
      </c>
      <c r="W1" s="282" t="s">
        <v>93</v>
      </c>
      <c r="X1" s="283"/>
      <c r="Y1" s="284" t="s">
        <v>94</v>
      </c>
      <c r="Z1" s="284" t="s">
        <v>95</v>
      </c>
      <c r="AA1" s="284" t="s">
        <v>96</v>
      </c>
      <c r="AB1" s="284" t="s">
        <v>97</v>
      </c>
      <c r="AC1" s="284" t="s">
        <v>98</v>
      </c>
      <c r="AD1" s="284" t="s">
        <v>99</v>
      </c>
      <c r="AE1" s="284" t="s">
        <v>100</v>
      </c>
      <c r="AF1" s="284" t="s">
        <v>101</v>
      </c>
      <c r="AG1" s="284" t="s">
        <v>102</v>
      </c>
      <c r="AH1" s="284" t="s">
        <v>103</v>
      </c>
      <c r="AI1" s="284" t="s">
        <v>104</v>
      </c>
      <c r="AJ1" s="284" t="s">
        <v>105</v>
      </c>
      <c r="AK1" s="284" t="s">
        <v>106</v>
      </c>
      <c r="AL1" s="284" t="s">
        <v>107</v>
      </c>
      <c r="AM1" s="285" t="s">
        <v>108</v>
      </c>
      <c r="AN1" s="286" t="s">
        <v>31</v>
      </c>
      <c r="AO1" s="286" t="s">
        <v>32</v>
      </c>
      <c r="AP1" s="287"/>
      <c r="AQ1" s="288" t="s">
        <v>109</v>
      </c>
      <c r="AR1" s="288" t="s">
        <v>110</v>
      </c>
      <c r="AS1" s="288" t="s">
        <v>111</v>
      </c>
      <c r="AT1" s="288" t="s">
        <v>112</v>
      </c>
      <c r="AU1" s="288" t="s">
        <v>113</v>
      </c>
      <c r="AV1" s="288" t="s">
        <v>114</v>
      </c>
      <c r="AW1" s="288" t="s">
        <v>115</v>
      </c>
      <c r="AX1" s="288" t="s">
        <v>116</v>
      </c>
      <c r="AY1" s="288" t="s">
        <v>117</v>
      </c>
      <c r="AZ1" s="288" t="s">
        <v>118</v>
      </c>
      <c r="BA1" s="288" t="s">
        <v>119</v>
      </c>
      <c r="BB1" s="288" t="s">
        <v>120</v>
      </c>
      <c r="BC1" s="288" t="s">
        <v>121</v>
      </c>
      <c r="BD1" s="288" t="s">
        <v>122</v>
      </c>
      <c r="BE1" s="288" t="s">
        <v>123</v>
      </c>
      <c r="BF1" s="289"/>
      <c r="BG1" s="290" t="s">
        <v>124</v>
      </c>
      <c r="BH1" s="291"/>
      <c r="BI1" s="281" t="s">
        <v>125</v>
      </c>
      <c r="BJ1" s="279"/>
      <c r="BK1" s="292" t="s">
        <v>126</v>
      </c>
      <c r="BL1" s="293" t="s">
        <v>127</v>
      </c>
      <c r="BM1" s="293" t="s">
        <v>128</v>
      </c>
      <c r="BN1" s="294" t="s">
        <v>129</v>
      </c>
      <c r="BO1" s="294" t="s">
        <v>130</v>
      </c>
      <c r="BP1" s="294" t="s">
        <v>131</v>
      </c>
      <c r="BQ1" s="295" t="s">
        <v>132</v>
      </c>
      <c r="BR1" s="295" t="s">
        <v>89</v>
      </c>
      <c r="BS1" s="295" t="s">
        <v>133</v>
      </c>
      <c r="BT1" s="295" t="s">
        <v>134</v>
      </c>
      <c r="BU1" s="295" t="s">
        <v>135</v>
      </c>
      <c r="BV1" s="296" t="s">
        <v>136</v>
      </c>
      <c r="BW1" s="295" t="s">
        <v>137</v>
      </c>
      <c r="BX1" s="295" t="s">
        <v>138</v>
      </c>
      <c r="BY1" s="295" t="s">
        <v>139</v>
      </c>
      <c r="BZ1" s="295" t="s">
        <v>140</v>
      </c>
      <c r="CA1" s="295" t="s">
        <v>141</v>
      </c>
      <c r="CB1" s="295" t="s">
        <v>61</v>
      </c>
      <c r="CC1" s="295" t="s">
        <v>142</v>
      </c>
      <c r="CD1" s="295" t="s">
        <v>143</v>
      </c>
      <c r="CE1" s="295" t="s">
        <v>144</v>
      </c>
      <c r="CF1" s="297"/>
      <c r="CG1" s="270" t="s">
        <v>145</v>
      </c>
      <c r="CH1" s="270"/>
      <c r="CI1" s="270" t="s">
        <v>146</v>
      </c>
      <c r="CJ1" s="270"/>
      <c r="CK1" s="298" t="s">
        <v>147</v>
      </c>
      <c r="CL1" s="270"/>
      <c r="CM1" s="299" t="s">
        <v>5</v>
      </c>
      <c r="CN1" s="270"/>
      <c r="CO1" s="300" t="s">
        <v>148</v>
      </c>
      <c r="CQ1" s="300" t="s">
        <v>149</v>
      </c>
      <c r="CR1" s="270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88"/>
  <sheetViews>
    <sheetView topLeftCell="A51" zoomScale="62" zoomScaleNormal="62" workbookViewId="0">
      <selection activeCell="C82" sqref="C80:D82"/>
    </sheetView>
  </sheetViews>
  <sheetFormatPr baseColWidth="10" defaultColWidth="11.42578125" defaultRowHeight="15"/>
  <cols>
    <col min="1" max="1" width="11.42578125" style="108" customWidth="1"/>
    <col min="2" max="2" width="14.28515625" style="108" customWidth="1"/>
    <col min="3" max="6" width="11.42578125" style="108" customWidth="1"/>
    <col min="7" max="7" width="18.5703125" style="108" customWidth="1"/>
    <col min="8" max="8" width="11.42578125" style="108" customWidth="1"/>
    <col min="9" max="9" width="26.28515625" style="108" customWidth="1"/>
    <col min="10" max="14" width="11.42578125" style="108" customWidth="1"/>
    <col min="15" max="15" width="15.28515625" style="108" customWidth="1"/>
    <col min="16" max="16" width="11.42578125" style="108" customWidth="1"/>
    <col min="17" max="16384" width="11.42578125" style="108"/>
  </cols>
  <sheetData>
    <row r="1" spans="1:20" ht="26.25" customHeight="1">
      <c r="A1" s="352" t="s">
        <v>150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  <c r="O1" s="353"/>
      <c r="P1" s="353"/>
      <c r="Q1" s="353"/>
      <c r="R1" s="353"/>
      <c r="S1" s="353"/>
      <c r="T1" s="353"/>
    </row>
    <row r="2" spans="1:20" ht="26.25" customHeight="1">
      <c r="A2" s="109"/>
      <c r="B2" s="109"/>
      <c r="C2" s="109"/>
      <c r="D2" s="109"/>
      <c r="E2" s="109"/>
      <c r="F2" s="109"/>
      <c r="G2" s="109"/>
    </row>
    <row r="3" spans="1:20">
      <c r="A3" s="110"/>
      <c r="B3" s="110"/>
      <c r="C3" s="111"/>
      <c r="D3" s="111"/>
      <c r="E3" s="110"/>
      <c r="F3" s="110"/>
      <c r="G3" s="110"/>
    </row>
    <row r="4" spans="1:20">
      <c r="A4" s="251" t="s">
        <v>151</v>
      </c>
      <c r="B4" s="112" t="s">
        <v>152</v>
      </c>
      <c r="C4" s="112" t="s">
        <v>153</v>
      </c>
      <c r="D4" s="113" t="s">
        <v>154</v>
      </c>
      <c r="E4" s="110"/>
      <c r="F4" s="110"/>
      <c r="G4" s="114" t="s">
        <v>155</v>
      </c>
      <c r="H4" s="115"/>
      <c r="I4" s="115"/>
    </row>
    <row r="5" spans="1:20">
      <c r="A5" s="116" t="s">
        <v>156</v>
      </c>
      <c r="B5" s="117" t="s">
        <v>157</v>
      </c>
      <c r="C5" s="116">
        <v>15</v>
      </c>
      <c r="D5" s="118">
        <v>15</v>
      </c>
      <c r="E5" s="110"/>
      <c r="F5" s="110"/>
      <c r="G5" s="119" t="s">
        <v>158</v>
      </c>
      <c r="H5" s="119" t="s">
        <v>159</v>
      </c>
      <c r="I5" s="119" t="s">
        <v>160</v>
      </c>
    </row>
    <row r="6" spans="1:20">
      <c r="A6" s="116" t="s">
        <v>161</v>
      </c>
      <c r="B6" s="117" t="s">
        <v>162</v>
      </c>
      <c r="C6" s="116">
        <v>12</v>
      </c>
      <c r="D6" s="118">
        <v>12</v>
      </c>
      <c r="E6" s="110"/>
      <c r="F6" s="110"/>
      <c r="G6" s="120">
        <v>0.25</v>
      </c>
      <c r="H6" s="120" t="s">
        <v>163</v>
      </c>
      <c r="I6" s="120" t="s">
        <v>164</v>
      </c>
    </row>
    <row r="7" spans="1:20">
      <c r="A7" s="116" t="s">
        <v>165</v>
      </c>
      <c r="B7" s="117" t="s">
        <v>166</v>
      </c>
      <c r="C7" s="116">
        <v>7</v>
      </c>
      <c r="D7" s="118">
        <v>7</v>
      </c>
      <c r="E7" s="110"/>
      <c r="F7" s="110"/>
      <c r="G7" s="120">
        <v>1</v>
      </c>
      <c r="H7" s="120" t="s">
        <v>167</v>
      </c>
      <c r="I7" s="120" t="s">
        <v>168</v>
      </c>
    </row>
    <row r="8" spans="1:20">
      <c r="A8" s="116" t="s">
        <v>169</v>
      </c>
      <c r="B8" s="117" t="s">
        <v>170</v>
      </c>
      <c r="C8" s="116">
        <v>4</v>
      </c>
      <c r="D8" s="118">
        <v>4</v>
      </c>
      <c r="E8" s="110"/>
      <c r="F8" s="110"/>
      <c r="G8" s="120">
        <v>5</v>
      </c>
      <c r="H8" s="120" t="s">
        <v>171</v>
      </c>
      <c r="I8" s="120" t="s">
        <v>172</v>
      </c>
    </row>
    <row r="9" spans="1:20">
      <c r="A9" s="116" t="s">
        <v>171</v>
      </c>
      <c r="B9" s="117" t="s">
        <v>173</v>
      </c>
      <c r="C9" s="116">
        <v>2</v>
      </c>
      <c r="D9" s="118">
        <v>2</v>
      </c>
      <c r="E9" s="110"/>
      <c r="F9" s="110"/>
      <c r="G9" s="120">
        <v>25</v>
      </c>
      <c r="H9" s="120" t="s">
        <v>169</v>
      </c>
      <c r="I9" s="120" t="s">
        <v>174</v>
      </c>
    </row>
    <row r="10" spans="1:20">
      <c r="A10" s="116" t="s">
        <v>167</v>
      </c>
      <c r="B10" s="117" t="s">
        <v>175</v>
      </c>
      <c r="C10" s="116">
        <v>1</v>
      </c>
      <c r="D10" s="118">
        <v>1</v>
      </c>
      <c r="E10" s="110"/>
      <c r="F10" s="110"/>
      <c r="G10" s="120">
        <v>50</v>
      </c>
      <c r="H10" s="120" t="s">
        <v>165</v>
      </c>
      <c r="I10" s="120" t="s">
        <v>176</v>
      </c>
    </row>
    <row r="11" spans="1:20">
      <c r="A11" s="116" t="s">
        <v>163</v>
      </c>
      <c r="B11" s="117" t="s">
        <v>177</v>
      </c>
      <c r="C11" s="116">
        <v>0</v>
      </c>
      <c r="D11" s="118">
        <v>0</v>
      </c>
      <c r="E11" s="110"/>
      <c r="F11" s="110"/>
      <c r="G11" s="120">
        <v>100</v>
      </c>
      <c r="H11" s="120" t="s">
        <v>161</v>
      </c>
      <c r="I11" s="120" t="s">
        <v>178</v>
      </c>
    </row>
    <row r="12" spans="1:20">
      <c r="A12" s="121" t="s">
        <v>179</v>
      </c>
      <c r="B12" s="122"/>
      <c r="C12" s="122"/>
      <c r="D12" s="123"/>
      <c r="E12" s="110"/>
      <c r="F12" s="110"/>
      <c r="G12" s="120">
        <v>250</v>
      </c>
      <c r="H12" s="120" t="s">
        <v>156</v>
      </c>
      <c r="I12" s="120" t="s">
        <v>180</v>
      </c>
    </row>
    <row r="13" spans="1:20">
      <c r="C13" s="111"/>
      <c r="D13" s="111"/>
      <c r="F13" s="110"/>
      <c r="G13" s="110"/>
      <c r="H13" s="110"/>
    </row>
    <row r="14" spans="1:20">
      <c r="A14" s="355" t="s">
        <v>24</v>
      </c>
      <c r="B14" s="308"/>
      <c r="C14" s="124" t="s">
        <v>181</v>
      </c>
      <c r="D14" s="113" t="s">
        <v>154</v>
      </c>
      <c r="F14" s="110"/>
      <c r="G14" s="110"/>
      <c r="H14" s="110"/>
    </row>
    <row r="15" spans="1:20">
      <c r="A15" s="125">
        <v>0</v>
      </c>
      <c r="B15" s="126" t="s">
        <v>182</v>
      </c>
      <c r="C15" s="116">
        <v>3</v>
      </c>
      <c r="D15" s="127">
        <v>3</v>
      </c>
      <c r="F15" s="110"/>
      <c r="G15" s="110"/>
      <c r="H15" s="110"/>
    </row>
    <row r="16" spans="1:20">
      <c r="A16" s="125">
        <v>25</v>
      </c>
      <c r="B16" s="125" t="s">
        <v>183</v>
      </c>
      <c r="C16" s="125">
        <v>8</v>
      </c>
      <c r="D16" s="127">
        <v>8</v>
      </c>
      <c r="F16" s="110"/>
      <c r="G16" s="110"/>
      <c r="H16" s="110"/>
    </row>
    <row r="17" spans="1:8">
      <c r="A17" s="125">
        <v>50</v>
      </c>
      <c r="B17" s="125" t="s">
        <v>184</v>
      </c>
      <c r="C17" s="125">
        <v>13</v>
      </c>
      <c r="D17" s="127">
        <v>13</v>
      </c>
      <c r="F17" s="110"/>
      <c r="G17" s="110"/>
      <c r="H17" s="110"/>
    </row>
    <row r="18" spans="1:8">
      <c r="A18" s="125">
        <v>75</v>
      </c>
      <c r="B18" s="125" t="s">
        <v>185</v>
      </c>
      <c r="C18" s="125">
        <v>17</v>
      </c>
      <c r="D18" s="127">
        <v>17</v>
      </c>
      <c r="F18" s="110"/>
      <c r="G18" s="110"/>
      <c r="H18" s="110"/>
    </row>
    <row r="19" spans="1:8">
      <c r="A19" s="125">
        <v>90</v>
      </c>
      <c r="B19" s="125" t="s">
        <v>186</v>
      </c>
      <c r="C19" s="125">
        <v>20</v>
      </c>
      <c r="D19" s="127">
        <v>20</v>
      </c>
      <c r="E19" s="110"/>
      <c r="F19" s="110"/>
      <c r="G19" s="110"/>
      <c r="H19" s="110"/>
    </row>
    <row r="20" spans="1:8">
      <c r="A20" s="121" t="s">
        <v>179</v>
      </c>
      <c r="B20" s="128"/>
      <c r="C20" s="110"/>
      <c r="D20" s="110"/>
      <c r="E20" s="110"/>
      <c r="F20" s="110"/>
      <c r="G20" s="110"/>
      <c r="H20" s="110"/>
    </row>
    <row r="21" spans="1:8">
      <c r="A21" s="128"/>
      <c r="B21" s="128"/>
      <c r="C21" s="111"/>
      <c r="D21" s="110"/>
      <c r="E21" s="110"/>
      <c r="F21" s="111"/>
      <c r="G21" s="110"/>
      <c r="H21" s="110"/>
    </row>
    <row r="22" spans="1:8">
      <c r="A22" s="355" t="s">
        <v>187</v>
      </c>
      <c r="B22" s="308"/>
      <c r="C22" s="112" t="s">
        <v>181</v>
      </c>
      <c r="D22" s="356" t="s">
        <v>187</v>
      </c>
      <c r="E22" s="308"/>
      <c r="F22" s="113" t="s">
        <v>154</v>
      </c>
    </row>
    <row r="23" spans="1:8">
      <c r="A23" s="127">
        <v>0</v>
      </c>
      <c r="B23" s="153" t="s">
        <v>188</v>
      </c>
      <c r="C23" s="129">
        <v>5</v>
      </c>
      <c r="D23" s="127">
        <v>0</v>
      </c>
      <c r="E23" s="130" t="s">
        <v>189</v>
      </c>
      <c r="F23" s="127">
        <v>5</v>
      </c>
    </row>
    <row r="24" spans="1:8">
      <c r="A24" s="127">
        <v>0.06</v>
      </c>
      <c r="B24" s="153" t="s">
        <v>190</v>
      </c>
      <c r="C24" s="129">
        <v>8</v>
      </c>
      <c r="D24" s="127">
        <v>0.05</v>
      </c>
      <c r="E24" s="130" t="s">
        <v>191</v>
      </c>
      <c r="F24" s="127">
        <v>10</v>
      </c>
    </row>
    <row r="25" spans="1:8">
      <c r="A25" s="127">
        <v>0.2</v>
      </c>
      <c r="B25" s="152" t="s">
        <v>192</v>
      </c>
      <c r="C25" s="129">
        <v>10</v>
      </c>
      <c r="D25" s="127">
        <v>0.3</v>
      </c>
      <c r="E25" s="130" t="s">
        <v>193</v>
      </c>
      <c r="F25" s="127">
        <v>20</v>
      </c>
    </row>
    <row r="26" spans="1:8">
      <c r="A26" s="127">
        <v>0.6</v>
      </c>
      <c r="B26" s="152" t="s">
        <v>194</v>
      </c>
      <c r="C26" s="129">
        <v>15</v>
      </c>
      <c r="D26" s="127">
        <v>1</v>
      </c>
      <c r="E26" s="152" t="s">
        <v>195</v>
      </c>
      <c r="F26" s="127">
        <v>25</v>
      </c>
    </row>
    <row r="27" spans="1:8">
      <c r="A27" s="127">
        <v>2</v>
      </c>
      <c r="B27" s="153" t="s">
        <v>196</v>
      </c>
      <c r="C27" s="129">
        <v>20</v>
      </c>
      <c r="D27" s="127">
        <v>3</v>
      </c>
      <c r="E27" s="130" t="s">
        <v>197</v>
      </c>
      <c r="F27" s="127">
        <v>30</v>
      </c>
    </row>
    <row r="28" spans="1:8">
      <c r="A28" s="121" t="s">
        <v>179</v>
      </c>
      <c r="B28" s="131"/>
      <c r="C28" s="110"/>
      <c r="D28" s="110"/>
      <c r="E28" s="110"/>
      <c r="F28" s="110"/>
      <c r="G28" s="110"/>
      <c r="H28" s="110"/>
    </row>
    <row r="29" spans="1:8">
      <c r="A29" s="110"/>
      <c r="B29" s="110"/>
      <c r="C29" s="111"/>
      <c r="D29" s="111"/>
      <c r="E29" s="110"/>
      <c r="F29" s="110"/>
      <c r="G29" s="110"/>
      <c r="H29" s="110"/>
    </row>
    <row r="30" spans="1:8">
      <c r="A30" s="354" t="s">
        <v>67</v>
      </c>
      <c r="B30" s="308"/>
      <c r="C30" s="112" t="s">
        <v>181</v>
      </c>
      <c r="D30" s="132" t="s">
        <v>154</v>
      </c>
      <c r="F30" s="133"/>
      <c r="G30" s="110"/>
      <c r="H30" s="110"/>
    </row>
    <row r="31" spans="1:8">
      <c r="A31" s="164">
        <v>1.0000000000000001E-5</v>
      </c>
      <c r="B31" s="134" t="s">
        <v>198</v>
      </c>
      <c r="C31" s="116">
        <v>6</v>
      </c>
      <c r="D31" s="127">
        <v>5</v>
      </c>
      <c r="F31" s="133"/>
      <c r="G31" s="110"/>
      <c r="H31" s="110"/>
    </row>
    <row r="32" spans="1:8">
      <c r="A32" s="127">
        <v>1</v>
      </c>
      <c r="B32" s="117" t="s">
        <v>199</v>
      </c>
      <c r="C32" s="116">
        <v>4</v>
      </c>
      <c r="D32" s="127">
        <v>4</v>
      </c>
      <c r="F32" s="133"/>
      <c r="G32" s="110"/>
      <c r="H32" s="110"/>
    </row>
    <row r="33" spans="1:8">
      <c r="A33" s="127">
        <v>3</v>
      </c>
      <c r="B33" s="117" t="s">
        <v>200</v>
      </c>
      <c r="C33" s="116">
        <v>2</v>
      </c>
      <c r="D33" s="127">
        <v>3</v>
      </c>
      <c r="F33" s="133"/>
      <c r="G33" s="110"/>
      <c r="H33" s="110"/>
    </row>
    <row r="34" spans="1:8">
      <c r="A34" s="127">
        <v>10</v>
      </c>
      <c r="B34" s="117" t="s">
        <v>201</v>
      </c>
      <c r="C34" s="116">
        <v>1</v>
      </c>
      <c r="D34" s="127">
        <v>1</v>
      </c>
      <c r="F34" s="133"/>
      <c r="G34" s="110"/>
      <c r="H34" s="110"/>
    </row>
    <row r="35" spans="1:8">
      <c r="A35" s="127">
        <v>20</v>
      </c>
      <c r="B35" s="117" t="s">
        <v>202</v>
      </c>
      <c r="C35" s="116">
        <v>0</v>
      </c>
      <c r="D35" s="127">
        <v>0</v>
      </c>
      <c r="F35" s="133"/>
      <c r="G35" s="110"/>
      <c r="H35" s="110"/>
    </row>
    <row r="36" spans="1:8">
      <c r="A36" s="110"/>
      <c r="B36" s="110"/>
      <c r="C36" s="110"/>
      <c r="D36" s="110"/>
      <c r="E36" s="110"/>
      <c r="F36" s="110"/>
      <c r="G36" s="110"/>
      <c r="H36" s="110"/>
    </row>
    <row r="37" spans="1:8">
      <c r="A37" s="110"/>
      <c r="B37" s="110"/>
      <c r="C37" s="110"/>
      <c r="D37" s="110"/>
      <c r="E37" s="110"/>
      <c r="F37" s="110"/>
      <c r="G37" s="110"/>
      <c r="H37" s="110"/>
    </row>
    <row r="38" spans="1:8">
      <c r="A38" s="110"/>
      <c r="B38" s="110"/>
      <c r="C38" s="110"/>
      <c r="D38" s="110"/>
      <c r="E38" s="110"/>
      <c r="F38" s="110"/>
      <c r="G38" s="110"/>
      <c r="H38" s="110"/>
    </row>
    <row r="39" spans="1:8">
      <c r="A39" s="135" t="s">
        <v>203</v>
      </c>
      <c r="B39" s="136" t="s">
        <v>181</v>
      </c>
      <c r="C39" s="132" t="s">
        <v>154</v>
      </c>
      <c r="G39" s="110"/>
      <c r="H39" s="110"/>
    </row>
    <row r="40" spans="1:8">
      <c r="A40" s="118" t="s">
        <v>204</v>
      </c>
      <c r="B40" s="118">
        <v>6</v>
      </c>
      <c r="C40" s="118">
        <v>5</v>
      </c>
      <c r="G40" s="110"/>
      <c r="H40" s="110"/>
    </row>
    <row r="41" spans="1:8">
      <c r="A41" s="118" t="s">
        <v>205</v>
      </c>
      <c r="B41" s="118">
        <v>5</v>
      </c>
      <c r="C41" s="118">
        <v>5</v>
      </c>
      <c r="G41" s="110"/>
      <c r="H41" s="110"/>
    </row>
    <row r="42" spans="1:8">
      <c r="A42" s="118" t="s">
        <v>206</v>
      </c>
      <c r="B42" s="118">
        <v>3</v>
      </c>
      <c r="C42" s="118">
        <v>4</v>
      </c>
      <c r="G42" s="110"/>
      <c r="H42" s="110"/>
    </row>
    <row r="43" spans="1:8">
      <c r="A43" s="118" t="s">
        <v>207</v>
      </c>
      <c r="B43" s="118">
        <v>3</v>
      </c>
      <c r="C43" s="118">
        <v>3</v>
      </c>
      <c r="G43" s="110"/>
      <c r="H43" s="110"/>
    </row>
    <row r="44" spans="1:8">
      <c r="A44" s="118" t="s">
        <v>208</v>
      </c>
      <c r="B44" s="118">
        <v>2</v>
      </c>
      <c r="C44" s="118">
        <v>2</v>
      </c>
      <c r="G44" s="110"/>
      <c r="H44" s="110"/>
    </row>
    <row r="45" spans="1:8">
      <c r="A45" s="129" t="s">
        <v>209</v>
      </c>
      <c r="B45" s="129">
        <v>1</v>
      </c>
      <c r="C45" s="129">
        <v>1</v>
      </c>
      <c r="D45" s="110"/>
      <c r="E45" s="110"/>
      <c r="F45" s="110"/>
      <c r="G45" s="110"/>
      <c r="H45" s="110"/>
    </row>
    <row r="46" spans="1:8">
      <c r="A46" s="121" t="s">
        <v>210</v>
      </c>
      <c r="B46" s="110"/>
      <c r="C46" s="110"/>
      <c r="D46" s="110"/>
      <c r="E46" s="110"/>
      <c r="F46" s="110"/>
      <c r="G46" s="110"/>
      <c r="H46" s="110"/>
    </row>
    <row r="47" spans="1:8">
      <c r="A47" s="110"/>
      <c r="B47" s="110"/>
      <c r="C47" s="110"/>
      <c r="D47" s="110"/>
      <c r="E47" s="110"/>
      <c r="F47" s="110"/>
      <c r="G47" s="110"/>
      <c r="H47" s="110"/>
    </row>
    <row r="48" spans="1:8">
      <c r="A48" s="110"/>
      <c r="B48" s="110"/>
      <c r="C48" s="110"/>
      <c r="D48" s="110"/>
      <c r="E48" s="110"/>
      <c r="F48" s="110"/>
      <c r="G48" s="110"/>
      <c r="H48" s="110"/>
    </row>
    <row r="49" spans="1:8">
      <c r="A49" s="110"/>
      <c r="B49" s="110"/>
      <c r="C49" s="110"/>
      <c r="D49" s="111"/>
      <c r="E49" s="111"/>
      <c r="F49" s="110"/>
      <c r="G49" s="110"/>
      <c r="H49" s="110"/>
    </row>
    <row r="50" spans="1:8">
      <c r="A50" s="358" t="s">
        <v>68</v>
      </c>
      <c r="B50" s="308"/>
      <c r="C50" s="135" t="s">
        <v>211</v>
      </c>
      <c r="D50" s="137" t="s">
        <v>181</v>
      </c>
      <c r="E50" s="132" t="s">
        <v>154</v>
      </c>
      <c r="F50" s="133"/>
      <c r="G50" s="133"/>
      <c r="H50" s="133"/>
    </row>
    <row r="51" spans="1:8">
      <c r="A51" s="138" t="s">
        <v>212</v>
      </c>
      <c r="B51" s="139">
        <v>0</v>
      </c>
      <c r="C51" s="118">
        <v>0</v>
      </c>
      <c r="D51" s="118">
        <v>6</v>
      </c>
      <c r="E51" s="127">
        <v>5</v>
      </c>
      <c r="F51" s="133"/>
      <c r="G51" s="133"/>
      <c r="H51" s="133"/>
    </row>
    <row r="52" spans="1:8">
      <c r="A52" s="138" t="s">
        <v>213</v>
      </c>
      <c r="B52" s="268">
        <v>9.9999999999999995E-7</v>
      </c>
      <c r="C52" s="118" t="s">
        <v>214</v>
      </c>
      <c r="D52" s="118">
        <v>5</v>
      </c>
      <c r="E52" s="127">
        <v>4</v>
      </c>
      <c r="F52" s="133"/>
      <c r="G52" s="133"/>
      <c r="H52" s="133"/>
    </row>
    <row r="53" spans="1:8">
      <c r="A53" s="138" t="s">
        <v>215</v>
      </c>
      <c r="B53" s="139">
        <v>0.1</v>
      </c>
      <c r="C53" s="118" t="s">
        <v>216</v>
      </c>
      <c r="D53" s="118">
        <v>3</v>
      </c>
      <c r="E53" s="127">
        <v>3</v>
      </c>
      <c r="F53" s="133"/>
      <c r="G53" s="133"/>
      <c r="H53" s="133"/>
    </row>
    <row r="54" spans="1:8">
      <c r="A54" s="138" t="s">
        <v>217</v>
      </c>
      <c r="B54" s="139">
        <v>1</v>
      </c>
      <c r="C54" s="140" t="s">
        <v>175</v>
      </c>
      <c r="D54" s="118">
        <v>1</v>
      </c>
      <c r="E54" s="127">
        <v>1</v>
      </c>
      <c r="F54" s="133"/>
      <c r="G54" s="133"/>
      <c r="H54" s="133"/>
    </row>
    <row r="55" spans="1:8" ht="25.5" customHeight="1">
      <c r="A55" s="138" t="s">
        <v>218</v>
      </c>
      <c r="B55" s="139">
        <v>5</v>
      </c>
      <c r="C55" s="118" t="s">
        <v>219</v>
      </c>
      <c r="D55" s="118">
        <v>0</v>
      </c>
      <c r="E55" s="127">
        <v>0</v>
      </c>
      <c r="F55" s="133"/>
      <c r="G55" s="133"/>
      <c r="H55" s="133"/>
    </row>
    <row r="56" spans="1:8">
      <c r="A56" s="110"/>
      <c r="B56" s="110"/>
      <c r="C56" s="110"/>
      <c r="D56" s="110"/>
      <c r="E56" s="110"/>
      <c r="F56" s="110"/>
      <c r="G56" s="110"/>
      <c r="H56" s="110"/>
    </row>
    <row r="57" spans="1:8">
      <c r="A57" s="110"/>
      <c r="B57" s="111"/>
      <c r="C57" s="111"/>
      <c r="D57" s="110"/>
      <c r="E57" s="110"/>
      <c r="F57" s="110"/>
      <c r="G57" s="110"/>
      <c r="H57" s="110"/>
    </row>
    <row r="58" spans="1:8">
      <c r="A58" s="141" t="s">
        <v>220</v>
      </c>
      <c r="B58" s="142" t="s">
        <v>181</v>
      </c>
      <c r="C58" s="143" t="s">
        <v>154</v>
      </c>
      <c r="D58" s="110"/>
      <c r="E58" s="133"/>
      <c r="F58" s="133"/>
      <c r="G58" s="110"/>
      <c r="H58" s="110"/>
    </row>
    <row r="59" spans="1:8">
      <c r="A59" s="118">
        <v>1</v>
      </c>
      <c r="B59" s="118">
        <v>6</v>
      </c>
      <c r="C59" s="127">
        <v>5</v>
      </c>
      <c r="D59" s="110"/>
      <c r="E59" s="133"/>
      <c r="F59" s="133"/>
      <c r="G59" s="110"/>
      <c r="H59" s="110"/>
    </row>
    <row r="60" spans="1:8">
      <c r="A60" s="118">
        <v>2</v>
      </c>
      <c r="B60" s="118">
        <v>5</v>
      </c>
      <c r="C60" s="127">
        <v>4</v>
      </c>
      <c r="D60" s="110"/>
      <c r="E60" s="133"/>
    </row>
    <row r="61" spans="1:8">
      <c r="A61" s="118">
        <v>3</v>
      </c>
      <c r="B61" s="118">
        <v>5</v>
      </c>
      <c r="C61" s="144">
        <v>4</v>
      </c>
      <c r="D61" s="110"/>
      <c r="E61" s="133"/>
    </row>
    <row r="62" spans="1:8">
      <c r="A62" s="118">
        <v>4</v>
      </c>
      <c r="B62" s="118">
        <v>3</v>
      </c>
      <c r="C62" s="127">
        <v>2</v>
      </c>
      <c r="D62" s="110"/>
      <c r="E62" s="133"/>
    </row>
    <row r="63" spans="1:8">
      <c r="A63" s="118">
        <v>5</v>
      </c>
      <c r="B63" s="118">
        <v>3</v>
      </c>
      <c r="C63" s="127">
        <v>2</v>
      </c>
      <c r="D63" s="110"/>
      <c r="E63" s="133"/>
    </row>
    <row r="64" spans="1:8">
      <c r="A64" s="118">
        <v>6</v>
      </c>
      <c r="B64" s="118">
        <v>1</v>
      </c>
      <c r="C64" s="127">
        <v>0</v>
      </c>
      <c r="D64" s="110"/>
      <c r="E64" s="133"/>
    </row>
    <row r="65" spans="1:17">
      <c r="A65" s="118">
        <v>7</v>
      </c>
      <c r="B65" s="118">
        <v>1</v>
      </c>
      <c r="C65" s="127">
        <v>0</v>
      </c>
      <c r="D65" s="110"/>
      <c r="E65" s="145"/>
    </row>
    <row r="66" spans="1:17">
      <c r="A66" s="118">
        <v>8</v>
      </c>
      <c r="B66" s="118">
        <v>0</v>
      </c>
      <c r="C66" s="127">
        <v>0</v>
      </c>
      <c r="D66" s="110"/>
      <c r="E66" s="145"/>
    </row>
    <row r="67" spans="1:17">
      <c r="A67" s="118">
        <v>9</v>
      </c>
      <c r="B67" s="118">
        <v>0</v>
      </c>
      <c r="C67" s="127">
        <v>0</v>
      </c>
      <c r="D67" s="110"/>
      <c r="E67" s="145"/>
    </row>
    <row r="68" spans="1:17">
      <c r="A68" s="123"/>
      <c r="B68" s="145"/>
      <c r="C68" s="123"/>
      <c r="D68" s="111"/>
      <c r="E68" s="145"/>
    </row>
    <row r="69" spans="1:17">
      <c r="A69" s="110"/>
      <c r="B69" s="110"/>
      <c r="C69" s="110"/>
      <c r="D69" s="110"/>
      <c r="E69" s="110"/>
    </row>
    <row r="70" spans="1:17">
      <c r="A70" s="110"/>
      <c r="C70" s="357" t="s">
        <v>181</v>
      </c>
      <c r="D70" s="351"/>
      <c r="E70" s="351"/>
      <c r="F70" s="351"/>
      <c r="G70" s="351"/>
      <c r="H70" s="350" t="s">
        <v>154</v>
      </c>
      <c r="I70" s="351"/>
      <c r="J70" s="351"/>
      <c r="K70" s="351"/>
      <c r="L70" s="351"/>
    </row>
    <row r="71" spans="1:17" ht="27" customHeight="1">
      <c r="A71" s="136" t="s">
        <v>221</v>
      </c>
      <c r="B71" s="146" t="s">
        <v>222</v>
      </c>
      <c r="C71" s="146" t="s">
        <v>223</v>
      </c>
      <c r="D71" s="146" t="s">
        <v>224</v>
      </c>
      <c r="E71" s="146" t="s">
        <v>225</v>
      </c>
      <c r="F71" s="146" t="s">
        <v>226</v>
      </c>
      <c r="G71" s="146" t="s">
        <v>227</v>
      </c>
      <c r="H71" s="146" t="s">
        <v>223</v>
      </c>
      <c r="I71" s="146" t="s">
        <v>224</v>
      </c>
      <c r="J71" s="146" t="s">
        <v>225</v>
      </c>
      <c r="K71" s="146" t="s">
        <v>226</v>
      </c>
      <c r="L71" s="146" t="s">
        <v>227</v>
      </c>
    </row>
    <row r="72" spans="1:17">
      <c r="A72" s="118" t="s">
        <v>228</v>
      </c>
      <c r="B72" s="118">
        <v>3</v>
      </c>
      <c r="C72" s="118">
        <v>6</v>
      </c>
      <c r="D72" s="118"/>
      <c r="E72" s="118"/>
      <c r="F72" s="118"/>
      <c r="G72" s="118"/>
      <c r="H72" s="118">
        <v>5</v>
      </c>
      <c r="I72" s="118"/>
      <c r="J72" s="118"/>
      <c r="K72" s="118"/>
      <c r="L72" s="118"/>
      <c r="O72" s="147" t="s">
        <v>52</v>
      </c>
      <c r="P72" s="147" t="s">
        <v>222</v>
      </c>
    </row>
    <row r="73" spans="1:17">
      <c r="A73" s="118" t="s">
        <v>229</v>
      </c>
      <c r="B73" s="118">
        <v>1</v>
      </c>
      <c r="C73" s="118"/>
      <c r="D73" s="118">
        <v>4</v>
      </c>
      <c r="E73" s="118">
        <v>2</v>
      </c>
      <c r="F73" s="118"/>
      <c r="G73" s="118"/>
      <c r="H73" s="118"/>
      <c r="I73" s="118">
        <v>4</v>
      </c>
      <c r="J73" s="118">
        <v>3</v>
      </c>
      <c r="K73" s="118"/>
      <c r="L73" s="118"/>
      <c r="N73" s="165">
        <v>9.9999999999999995E-7</v>
      </c>
      <c r="O73" s="148" t="s">
        <v>230</v>
      </c>
      <c r="P73" s="148">
        <v>1</v>
      </c>
    </row>
    <row r="74" spans="1:17">
      <c r="A74" s="118" t="s">
        <v>231</v>
      </c>
      <c r="B74" s="118">
        <v>1</v>
      </c>
      <c r="C74" s="118"/>
      <c r="D74" s="118">
        <v>4</v>
      </c>
      <c r="E74" s="118">
        <v>2</v>
      </c>
      <c r="F74" s="118"/>
      <c r="G74" s="118"/>
      <c r="H74" s="118"/>
      <c r="I74" s="118">
        <v>4</v>
      </c>
      <c r="J74" s="118">
        <v>3</v>
      </c>
      <c r="K74" s="118"/>
      <c r="L74" s="118"/>
      <c r="N74" s="108">
        <v>5</v>
      </c>
      <c r="O74" s="148" t="s">
        <v>219</v>
      </c>
      <c r="P74" s="148">
        <v>2</v>
      </c>
    </row>
    <row r="75" spans="1:17">
      <c r="A75" s="118" t="s">
        <v>232</v>
      </c>
      <c r="B75" s="118">
        <v>1</v>
      </c>
      <c r="C75" s="118"/>
      <c r="D75" s="118">
        <v>4</v>
      </c>
      <c r="E75" s="118">
        <v>2</v>
      </c>
      <c r="F75" s="118"/>
      <c r="G75" s="118"/>
      <c r="H75" s="118"/>
      <c r="I75" s="118">
        <v>4</v>
      </c>
      <c r="J75" s="118">
        <v>3</v>
      </c>
      <c r="K75" s="118"/>
      <c r="L75" s="118"/>
    </row>
    <row r="76" spans="1:17">
      <c r="A76" s="118" t="s">
        <v>233</v>
      </c>
      <c r="B76" s="118">
        <v>1</v>
      </c>
      <c r="C76" s="118"/>
      <c r="D76" s="118">
        <v>4</v>
      </c>
      <c r="E76" s="118">
        <v>2</v>
      </c>
      <c r="F76" s="118"/>
      <c r="G76" s="118"/>
      <c r="H76" s="118"/>
      <c r="I76" s="118">
        <v>4</v>
      </c>
      <c r="J76" s="118">
        <v>3</v>
      </c>
      <c r="K76" s="118"/>
      <c r="L76" s="118"/>
      <c r="N76" s="148" t="s">
        <v>222</v>
      </c>
      <c r="O76" s="148" t="s">
        <v>221</v>
      </c>
      <c r="P76" s="137" t="s">
        <v>181</v>
      </c>
      <c r="Q76" s="113" t="s">
        <v>154</v>
      </c>
    </row>
    <row r="77" spans="1:17">
      <c r="A77" s="118" t="s">
        <v>234</v>
      </c>
      <c r="B77" s="118">
        <v>2</v>
      </c>
      <c r="C77" s="118"/>
      <c r="D77" s="118"/>
      <c r="E77" s="118"/>
      <c r="F77" s="118">
        <v>2</v>
      </c>
      <c r="G77" s="118">
        <v>0</v>
      </c>
      <c r="H77" s="118"/>
      <c r="I77" s="118"/>
      <c r="J77" s="118"/>
      <c r="K77" s="118">
        <v>2</v>
      </c>
      <c r="L77" s="118">
        <v>0</v>
      </c>
      <c r="N77" s="148">
        <v>1</v>
      </c>
      <c r="O77" s="148" t="s">
        <v>235</v>
      </c>
      <c r="P77" s="148">
        <v>4</v>
      </c>
      <c r="Q77" s="148">
        <v>4</v>
      </c>
    </row>
    <row r="78" spans="1:17">
      <c r="A78" s="118" t="s">
        <v>236</v>
      </c>
      <c r="B78" s="118">
        <v>2</v>
      </c>
      <c r="C78" s="118"/>
      <c r="D78" s="118"/>
      <c r="E78" s="118"/>
      <c r="F78" s="118">
        <v>2</v>
      </c>
      <c r="G78" s="118">
        <v>0</v>
      </c>
      <c r="H78" s="118"/>
      <c r="I78" s="118"/>
      <c r="J78" s="118"/>
      <c r="K78" s="118">
        <v>2</v>
      </c>
      <c r="L78" s="118">
        <v>0</v>
      </c>
      <c r="N78" s="148">
        <v>2</v>
      </c>
      <c r="O78" s="148" t="s">
        <v>237</v>
      </c>
      <c r="P78" s="148">
        <v>2</v>
      </c>
      <c r="Q78" s="148">
        <v>3</v>
      </c>
    </row>
    <row r="79" spans="1:17">
      <c r="A79" s="118" t="s">
        <v>238</v>
      </c>
      <c r="B79" s="118">
        <v>2</v>
      </c>
      <c r="C79" s="118"/>
      <c r="D79" s="118"/>
      <c r="E79" s="118"/>
      <c r="F79" s="118">
        <v>2</v>
      </c>
      <c r="G79" s="118">
        <v>0</v>
      </c>
      <c r="H79" s="118"/>
      <c r="I79" s="118"/>
      <c r="J79" s="118"/>
      <c r="K79" s="118">
        <v>2</v>
      </c>
      <c r="L79" s="118">
        <v>0</v>
      </c>
      <c r="N79" s="148">
        <v>3</v>
      </c>
      <c r="O79" s="148" t="s">
        <v>239</v>
      </c>
      <c r="P79" s="148">
        <v>2</v>
      </c>
      <c r="Q79" s="148">
        <v>2</v>
      </c>
    </row>
    <row r="80" spans="1:17">
      <c r="A80" s="110"/>
      <c r="B80" s="110"/>
      <c r="C80" s="110"/>
      <c r="D80" s="110"/>
      <c r="E80" s="110"/>
      <c r="F80" s="110"/>
      <c r="H80" s="110"/>
      <c r="N80" s="148">
        <v>4</v>
      </c>
      <c r="O80" s="148" t="s">
        <v>240</v>
      </c>
      <c r="P80" s="148">
        <v>0</v>
      </c>
      <c r="Q80" s="148">
        <v>0</v>
      </c>
    </row>
    <row r="81" spans="1:17">
      <c r="E81" s="110"/>
      <c r="F81" s="110"/>
      <c r="G81" s="110"/>
      <c r="H81" s="110"/>
      <c r="N81" s="163">
        <v>5</v>
      </c>
      <c r="O81" s="166" t="s">
        <v>241</v>
      </c>
      <c r="P81" s="163">
        <v>6</v>
      </c>
      <c r="Q81" s="163">
        <v>5</v>
      </c>
    </row>
    <row r="82" spans="1:17">
      <c r="C82" s="111"/>
      <c r="D82" s="111"/>
      <c r="E82" s="110"/>
      <c r="F82" s="110"/>
      <c r="G82" s="110"/>
      <c r="H82" s="110"/>
    </row>
    <row r="83" spans="1:17">
      <c r="A83" s="135" t="s">
        <v>242</v>
      </c>
      <c r="B83" s="135"/>
      <c r="C83" s="113" t="s">
        <v>154</v>
      </c>
      <c r="D83" s="137" t="s">
        <v>181</v>
      </c>
    </row>
    <row r="84" spans="1:17" ht="25.5" customHeight="1">
      <c r="A84" s="118" t="s">
        <v>243</v>
      </c>
      <c r="B84" s="118" t="s">
        <v>244</v>
      </c>
      <c r="C84" s="118">
        <v>10</v>
      </c>
      <c r="D84" s="118">
        <v>15</v>
      </c>
    </row>
    <row r="85" spans="1:17">
      <c r="A85" s="118" t="s">
        <v>245</v>
      </c>
      <c r="B85" s="118" t="s">
        <v>246</v>
      </c>
      <c r="C85" s="118">
        <v>10</v>
      </c>
      <c r="D85" s="118">
        <v>10</v>
      </c>
    </row>
    <row r="86" spans="1:17">
      <c r="A86" s="118" t="s">
        <v>247</v>
      </c>
      <c r="B86" s="118" t="s">
        <v>248</v>
      </c>
      <c r="C86" s="118">
        <v>7</v>
      </c>
      <c r="D86" s="118">
        <v>7</v>
      </c>
    </row>
    <row r="87" spans="1:17">
      <c r="A87" s="118" t="s">
        <v>249</v>
      </c>
      <c r="B87" s="118" t="s">
        <v>250</v>
      </c>
      <c r="C87" s="118">
        <v>4</v>
      </c>
      <c r="D87" s="118">
        <v>4</v>
      </c>
    </row>
    <row r="88" spans="1:17">
      <c r="A88" s="118" t="s">
        <v>251</v>
      </c>
      <c r="B88" s="118" t="s">
        <v>252</v>
      </c>
      <c r="C88" s="118">
        <v>0</v>
      </c>
      <c r="D88" s="118">
        <v>0</v>
      </c>
    </row>
  </sheetData>
  <mergeCells count="8">
    <mergeCell ref="H70:L70"/>
    <mergeCell ref="A1:T1"/>
    <mergeCell ref="A30:B30"/>
    <mergeCell ref="A14:B14"/>
    <mergeCell ref="D22:E22"/>
    <mergeCell ref="C70:G70"/>
    <mergeCell ref="A22:B22"/>
    <mergeCell ref="A50:B5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00"/>
  <sheetViews>
    <sheetView topLeftCell="J1" zoomScale="120" zoomScaleNormal="120" workbookViewId="0">
      <selection activeCell="J50" sqref="J50"/>
    </sheetView>
  </sheetViews>
  <sheetFormatPr baseColWidth="10" defaultColWidth="11.42578125" defaultRowHeight="12.75"/>
  <cols>
    <col min="1" max="1" width="14.7109375" style="188" customWidth="1"/>
    <col min="2" max="2" width="16.7109375" style="188" bestFit="1" customWidth="1"/>
    <col min="3" max="3" width="19.28515625" style="188" customWidth="1"/>
    <col min="4" max="4" width="11.42578125" style="188" customWidth="1"/>
    <col min="5" max="5" width="11.28515625" style="188" customWidth="1"/>
    <col min="6" max="6" width="24.7109375" style="188" customWidth="1"/>
    <col min="7" max="7" width="34.7109375" style="188" customWidth="1"/>
    <col min="8" max="8" width="11.42578125" style="188" customWidth="1"/>
    <col min="9" max="9" width="12.7109375" style="188" bestFit="1" customWidth="1"/>
    <col min="10" max="10" width="11.42578125" style="188" customWidth="1"/>
    <col min="11" max="11" width="17.7109375" style="188" customWidth="1"/>
    <col min="12" max="16" width="11.42578125" style="188" customWidth="1"/>
    <col min="17" max="17" width="15.5703125" style="188" customWidth="1"/>
    <col min="18" max="19" width="11.42578125" style="188" customWidth="1"/>
    <col min="20" max="20" width="13.7109375" style="188" customWidth="1"/>
    <col min="21" max="21" width="11.42578125" style="188" customWidth="1"/>
    <col min="22" max="16384" width="11.42578125" style="188"/>
  </cols>
  <sheetData>
    <row r="1" spans="1:22" ht="28.9" customHeight="1">
      <c r="A1" s="186" t="s">
        <v>253</v>
      </c>
      <c r="B1" s="187"/>
      <c r="C1" s="187"/>
      <c r="D1" s="186" t="s">
        <v>254</v>
      </c>
      <c r="E1" s="187"/>
      <c r="G1" s="375" t="s">
        <v>255</v>
      </c>
      <c r="H1" s="324"/>
      <c r="I1" s="324"/>
      <c r="K1" s="372" t="s">
        <v>256</v>
      </c>
      <c r="L1" s="373"/>
      <c r="M1" s="373"/>
      <c r="N1" s="373"/>
      <c r="O1" s="373"/>
      <c r="Q1" s="189"/>
    </row>
    <row r="2" spans="1:22" ht="38.25" customHeight="1">
      <c r="A2" s="190" t="s">
        <v>159</v>
      </c>
      <c r="B2" s="191" t="s">
        <v>257</v>
      </c>
      <c r="C2" s="192"/>
      <c r="D2" s="190" t="s">
        <v>258</v>
      </c>
      <c r="E2" s="191" t="s">
        <v>259</v>
      </c>
      <c r="F2" s="193"/>
      <c r="G2" s="194" t="s">
        <v>260</v>
      </c>
      <c r="H2" s="195" t="s">
        <v>261</v>
      </c>
      <c r="I2" s="194" t="s">
        <v>262</v>
      </c>
      <c r="J2" s="193"/>
      <c r="K2" s="193"/>
      <c r="L2" s="196" t="s">
        <v>263</v>
      </c>
      <c r="M2" s="196" t="s">
        <v>264</v>
      </c>
      <c r="N2" s="196" t="s">
        <v>265</v>
      </c>
      <c r="O2" s="196" t="s">
        <v>266</v>
      </c>
      <c r="Q2" s="252" t="s">
        <v>260</v>
      </c>
      <c r="R2" s="254" t="s">
        <v>267</v>
      </c>
      <c r="S2" s="254" t="s">
        <v>268</v>
      </c>
      <c r="T2" s="197" t="s">
        <v>269</v>
      </c>
      <c r="U2" s="198" t="s">
        <v>270</v>
      </c>
    </row>
    <row r="3" spans="1:22">
      <c r="A3" s="199" t="s">
        <v>271</v>
      </c>
      <c r="B3" s="200" t="s">
        <v>272</v>
      </c>
      <c r="C3" s="187"/>
      <c r="D3" s="199" t="s">
        <v>273</v>
      </c>
      <c r="E3" s="200">
        <v>36.5</v>
      </c>
      <c r="G3" s="201" t="s">
        <v>274</v>
      </c>
      <c r="H3" s="202" t="s">
        <v>275</v>
      </c>
      <c r="I3" s="203">
        <v>15</v>
      </c>
      <c r="K3" s="360" t="s">
        <v>276</v>
      </c>
      <c r="L3" s="204" t="s">
        <v>277</v>
      </c>
      <c r="M3" s="204" t="s">
        <v>277</v>
      </c>
      <c r="N3" s="204" t="s">
        <v>278</v>
      </c>
      <c r="O3" s="205">
        <v>8.2899999999999991</v>
      </c>
      <c r="Q3" s="362" t="s">
        <v>276</v>
      </c>
      <c r="R3" s="254" t="s">
        <v>277</v>
      </c>
      <c r="S3" s="254" t="s">
        <v>278</v>
      </c>
      <c r="T3" s="206" t="str">
        <f t="shared" ref="T3:T34" si="0">CONCATENATE(R3,"/",S3)</f>
        <v>MZB/MZB_EQ</v>
      </c>
      <c r="U3" s="207">
        <v>8.2899999999999991</v>
      </c>
      <c r="V3" s="188" t="s">
        <v>276</v>
      </c>
    </row>
    <row r="4" spans="1:22">
      <c r="A4" s="199" t="s">
        <v>279</v>
      </c>
      <c r="B4" s="200" t="s">
        <v>280</v>
      </c>
      <c r="C4" s="187"/>
      <c r="D4" s="199" t="s">
        <v>281</v>
      </c>
      <c r="E4" s="200">
        <v>47.6</v>
      </c>
      <c r="G4" s="201"/>
      <c r="H4" s="202" t="s">
        <v>282</v>
      </c>
      <c r="I4" s="203">
        <v>19.7</v>
      </c>
      <c r="K4" s="302"/>
      <c r="L4" s="204" t="s">
        <v>277</v>
      </c>
      <c r="M4" s="204" t="s">
        <v>277</v>
      </c>
      <c r="N4" s="204" t="s">
        <v>283</v>
      </c>
      <c r="O4" s="205">
        <v>8.5299999999999994</v>
      </c>
      <c r="Q4" s="302"/>
      <c r="R4" s="254" t="s">
        <v>277</v>
      </c>
      <c r="S4" s="254" t="s">
        <v>283</v>
      </c>
      <c r="T4" s="206" t="str">
        <f t="shared" si="0"/>
        <v>MZB/MZB_P</v>
      </c>
      <c r="U4" s="207">
        <v>8.5299999999999994</v>
      </c>
      <c r="V4" s="188" t="s">
        <v>276</v>
      </c>
    </row>
    <row r="5" spans="1:22">
      <c r="A5" s="199" t="s">
        <v>284</v>
      </c>
      <c r="B5" s="200" t="s">
        <v>285</v>
      </c>
      <c r="C5" s="187"/>
      <c r="D5" s="199" t="s">
        <v>286</v>
      </c>
      <c r="E5" s="200">
        <v>61.1</v>
      </c>
      <c r="G5" s="201"/>
      <c r="H5" s="202" t="s">
        <v>287</v>
      </c>
      <c r="I5" s="203">
        <v>18.7</v>
      </c>
      <c r="K5" s="302"/>
      <c r="L5" s="208" t="s">
        <v>288</v>
      </c>
      <c r="M5" s="208" t="s">
        <v>289</v>
      </c>
      <c r="N5" s="208" t="s">
        <v>288</v>
      </c>
      <c r="O5" s="205">
        <v>9.1999999999999993</v>
      </c>
      <c r="Q5" s="302"/>
      <c r="R5" s="254" t="s">
        <v>289</v>
      </c>
      <c r="S5" s="254" t="s">
        <v>288</v>
      </c>
      <c r="T5" s="206" t="str">
        <f t="shared" si="0"/>
        <v>MBF/MBF1</v>
      </c>
      <c r="U5" s="207">
        <v>9.1999999999999993</v>
      </c>
      <c r="V5" s="188" t="s">
        <v>276</v>
      </c>
    </row>
    <row r="6" spans="1:22">
      <c r="A6" s="199" t="s">
        <v>290</v>
      </c>
      <c r="B6" s="200" t="s">
        <v>291</v>
      </c>
      <c r="C6" s="187"/>
      <c r="D6" s="199" t="s">
        <v>292</v>
      </c>
      <c r="E6" s="200">
        <v>85</v>
      </c>
      <c r="G6" s="209" t="s">
        <v>276</v>
      </c>
      <c r="H6" s="210" t="s">
        <v>293</v>
      </c>
      <c r="I6" s="203">
        <v>18.600000000000001</v>
      </c>
      <c r="K6" s="302"/>
      <c r="L6" s="208" t="s">
        <v>294</v>
      </c>
      <c r="M6" s="208" t="s">
        <v>289</v>
      </c>
      <c r="N6" s="208" t="s">
        <v>294</v>
      </c>
      <c r="O6" s="205">
        <v>10.73</v>
      </c>
      <c r="Q6" s="302"/>
      <c r="R6" s="254" t="s">
        <v>289</v>
      </c>
      <c r="S6" s="254" t="s">
        <v>294</v>
      </c>
      <c r="T6" s="206" t="str">
        <f t="shared" si="0"/>
        <v>MBF/MBF2</v>
      </c>
      <c r="U6" s="207">
        <v>10.73</v>
      </c>
      <c r="V6" s="188" t="s">
        <v>276</v>
      </c>
    </row>
    <row r="7" spans="1:22">
      <c r="A7" s="187"/>
      <c r="B7" s="187"/>
      <c r="C7" s="187"/>
      <c r="D7" s="187"/>
      <c r="E7" s="187"/>
      <c r="G7" s="209"/>
      <c r="H7" s="210" t="s">
        <v>277</v>
      </c>
      <c r="I7" s="203">
        <v>16.8</v>
      </c>
      <c r="K7" s="302"/>
      <c r="L7" s="208" t="s">
        <v>294</v>
      </c>
      <c r="M7" s="208" t="s">
        <v>289</v>
      </c>
      <c r="N7" s="208" t="s">
        <v>295</v>
      </c>
      <c r="O7" s="205">
        <v>9.31</v>
      </c>
      <c r="Q7" s="302"/>
      <c r="R7" s="254" t="s">
        <v>289</v>
      </c>
      <c r="S7" s="254" t="s">
        <v>295</v>
      </c>
      <c r="T7" s="206" t="str">
        <f t="shared" si="0"/>
        <v>MBF/MBF_P</v>
      </c>
      <c r="U7" s="207">
        <v>9.31</v>
      </c>
      <c r="V7" s="188" t="s">
        <v>276</v>
      </c>
    </row>
    <row r="8" spans="1:22">
      <c r="A8" s="187"/>
      <c r="B8" s="187"/>
      <c r="C8" s="187"/>
      <c r="D8" s="187"/>
      <c r="E8" s="187"/>
      <c r="G8" s="209"/>
      <c r="H8" s="210" t="s">
        <v>289</v>
      </c>
      <c r="I8" s="203">
        <v>17.399999999999999</v>
      </c>
      <c r="K8" s="302"/>
      <c r="L8" s="211" t="s">
        <v>293</v>
      </c>
      <c r="M8" s="211" t="s">
        <v>293</v>
      </c>
      <c r="N8" s="211" t="s">
        <v>296</v>
      </c>
      <c r="O8" s="205">
        <v>9.31</v>
      </c>
      <c r="Q8" s="302"/>
      <c r="R8" s="254" t="s">
        <v>293</v>
      </c>
      <c r="S8" s="254" t="s">
        <v>296</v>
      </c>
      <c r="T8" s="206" t="str">
        <f t="shared" si="0"/>
        <v>MZM/MZM_F</v>
      </c>
      <c r="U8" s="207">
        <v>9.31</v>
      </c>
      <c r="V8" s="188" t="s">
        <v>276</v>
      </c>
    </row>
    <row r="9" spans="1:22">
      <c r="A9" s="186" t="s">
        <v>155</v>
      </c>
      <c r="B9" s="187"/>
      <c r="C9" s="187"/>
      <c r="D9" s="187"/>
      <c r="E9" s="187"/>
      <c r="G9" s="209"/>
      <c r="H9" s="210" t="s">
        <v>288</v>
      </c>
      <c r="I9" s="203">
        <v>17.399999999999999</v>
      </c>
      <c r="K9" s="302"/>
      <c r="L9" s="211" t="s">
        <v>293</v>
      </c>
      <c r="M9" s="211" t="s">
        <v>293</v>
      </c>
      <c r="N9" s="211" t="s">
        <v>297</v>
      </c>
      <c r="O9" s="205">
        <v>8.61</v>
      </c>
      <c r="Q9" s="302"/>
      <c r="R9" s="254" t="s">
        <v>293</v>
      </c>
      <c r="S9" s="254" t="s">
        <v>297</v>
      </c>
      <c r="T9" s="206" t="str">
        <f t="shared" si="0"/>
        <v>MZM/MZM_M</v>
      </c>
      <c r="U9" s="207">
        <v>8.61</v>
      </c>
      <c r="V9" s="188" t="s">
        <v>276</v>
      </c>
    </row>
    <row r="10" spans="1:22">
      <c r="A10" s="212" t="s">
        <v>158</v>
      </c>
      <c r="B10" s="212" t="s">
        <v>159</v>
      </c>
      <c r="C10" s="212" t="s">
        <v>160</v>
      </c>
      <c r="D10" s="187"/>
      <c r="E10" s="187"/>
      <c r="G10" s="209"/>
      <c r="H10" s="210" t="s">
        <v>294</v>
      </c>
      <c r="I10" s="203">
        <v>17.399999999999999</v>
      </c>
      <c r="K10" s="302"/>
      <c r="L10" s="213" t="s">
        <v>298</v>
      </c>
      <c r="M10" s="213" t="s">
        <v>298</v>
      </c>
      <c r="N10" s="213" t="s">
        <v>299</v>
      </c>
      <c r="O10" s="205">
        <v>11.62</v>
      </c>
      <c r="Q10" s="302"/>
      <c r="R10" s="254" t="s">
        <v>298</v>
      </c>
      <c r="S10" s="254" t="s">
        <v>299</v>
      </c>
      <c r="T10" s="206" t="str">
        <f t="shared" si="0"/>
        <v>MZH/MZH_1</v>
      </c>
      <c r="U10" s="207">
        <v>11.62</v>
      </c>
      <c r="V10" s="188" t="s">
        <v>276</v>
      </c>
    </row>
    <row r="11" spans="1:22">
      <c r="A11" s="200">
        <v>0.25</v>
      </c>
      <c r="B11" s="200" t="s">
        <v>163</v>
      </c>
      <c r="C11" s="200" t="s">
        <v>164</v>
      </c>
      <c r="D11" s="187"/>
      <c r="E11" s="187"/>
      <c r="G11" s="209"/>
      <c r="H11" s="210" t="s">
        <v>300</v>
      </c>
      <c r="I11" s="203">
        <v>18.100000000000001</v>
      </c>
      <c r="K11" s="302"/>
      <c r="L11" s="213" t="s">
        <v>298</v>
      </c>
      <c r="M11" s="213" t="s">
        <v>298</v>
      </c>
      <c r="N11" s="213" t="s">
        <v>301</v>
      </c>
      <c r="O11" s="205">
        <v>9.31</v>
      </c>
      <c r="Q11" s="302"/>
      <c r="R11" s="254" t="s">
        <v>298</v>
      </c>
      <c r="S11" s="254" t="s">
        <v>301</v>
      </c>
      <c r="T11" s="206" t="str">
        <f t="shared" si="0"/>
        <v>MZH/MZH_2</v>
      </c>
      <c r="U11" s="207">
        <v>9.31</v>
      </c>
      <c r="V11" s="188" t="s">
        <v>276</v>
      </c>
    </row>
    <row r="12" spans="1:22">
      <c r="A12" s="200">
        <v>1</v>
      </c>
      <c r="B12" s="200" t="s">
        <v>167</v>
      </c>
      <c r="C12" s="200" t="s">
        <v>168</v>
      </c>
      <c r="D12" s="187"/>
      <c r="E12" s="187"/>
      <c r="G12" s="209"/>
      <c r="H12" s="210" t="s">
        <v>298</v>
      </c>
      <c r="I12" s="203">
        <v>18.2</v>
      </c>
      <c r="K12" s="302"/>
      <c r="L12" s="213" t="s">
        <v>302</v>
      </c>
      <c r="M12" s="213" t="s">
        <v>302</v>
      </c>
      <c r="N12" s="213" t="s">
        <v>302</v>
      </c>
      <c r="O12" s="205">
        <v>7.6</v>
      </c>
      <c r="Q12" s="302"/>
      <c r="R12" s="254" t="s">
        <v>302</v>
      </c>
      <c r="S12" s="254" t="s">
        <v>302</v>
      </c>
      <c r="T12" s="206" t="str">
        <f t="shared" si="0"/>
        <v>MZD/MZD</v>
      </c>
      <c r="U12" s="207">
        <v>7.6</v>
      </c>
      <c r="V12" s="188" t="s">
        <v>276</v>
      </c>
    </row>
    <row r="13" spans="1:22">
      <c r="A13" s="200">
        <v>5</v>
      </c>
      <c r="B13" s="200" t="s">
        <v>171</v>
      </c>
      <c r="C13" s="200" t="s">
        <v>172</v>
      </c>
      <c r="D13" s="187"/>
      <c r="E13" s="187"/>
      <c r="G13" s="214" t="s">
        <v>303</v>
      </c>
      <c r="H13" s="215" t="s">
        <v>304</v>
      </c>
      <c r="I13" s="203">
        <v>15.2</v>
      </c>
      <c r="K13" s="302"/>
      <c r="L13" s="216" t="s">
        <v>300</v>
      </c>
      <c r="M13" s="216" t="s">
        <v>300</v>
      </c>
      <c r="N13" s="216" t="s">
        <v>300</v>
      </c>
      <c r="O13" s="205">
        <v>12.29</v>
      </c>
      <c r="Q13" s="302"/>
      <c r="R13" s="254" t="s">
        <v>300</v>
      </c>
      <c r="S13" s="254" t="s">
        <v>300</v>
      </c>
      <c r="T13" s="206" t="str">
        <f t="shared" si="0"/>
        <v>MZQ/MZQ</v>
      </c>
      <c r="U13" s="207">
        <v>12.29</v>
      </c>
      <c r="V13" s="188" t="s">
        <v>276</v>
      </c>
    </row>
    <row r="14" spans="1:22">
      <c r="A14" s="200">
        <v>25</v>
      </c>
      <c r="B14" s="200" t="s">
        <v>169</v>
      </c>
      <c r="C14" s="200" t="s">
        <v>174</v>
      </c>
      <c r="D14" s="187"/>
      <c r="E14" s="187"/>
      <c r="G14" s="214"/>
      <c r="H14" s="215" t="s">
        <v>305</v>
      </c>
      <c r="I14" s="203">
        <v>15.1</v>
      </c>
      <c r="K14" s="303"/>
      <c r="L14" s="217" t="s">
        <v>306</v>
      </c>
      <c r="M14" s="217" t="s">
        <v>306</v>
      </c>
      <c r="N14" s="217" t="s">
        <v>307</v>
      </c>
      <c r="O14" s="205">
        <v>9.31</v>
      </c>
      <c r="Q14" s="302"/>
      <c r="R14" s="254" t="s">
        <v>289</v>
      </c>
      <c r="S14" s="254" t="s">
        <v>308</v>
      </c>
      <c r="T14" s="206" t="str">
        <f t="shared" si="0"/>
        <v>MBF/NR</v>
      </c>
      <c r="U14" s="207">
        <v>9.31</v>
      </c>
      <c r="V14" s="188" t="s">
        <v>276</v>
      </c>
    </row>
    <row r="15" spans="1:22">
      <c r="A15" s="200">
        <v>50</v>
      </c>
      <c r="B15" s="200" t="s">
        <v>165</v>
      </c>
      <c r="C15" s="200" t="s">
        <v>176</v>
      </c>
      <c r="D15" s="187"/>
      <c r="E15" s="187"/>
      <c r="G15" s="214"/>
      <c r="H15" s="215" t="s">
        <v>309</v>
      </c>
      <c r="I15" s="203">
        <v>15.3</v>
      </c>
      <c r="K15" s="360" t="s">
        <v>310</v>
      </c>
      <c r="L15" s="218" t="s">
        <v>275</v>
      </c>
      <c r="M15" s="218" t="s">
        <v>275</v>
      </c>
      <c r="N15" s="218" t="s">
        <v>311</v>
      </c>
      <c r="O15" s="205">
        <v>14.74</v>
      </c>
      <c r="Q15" s="302"/>
      <c r="R15" s="254" t="s">
        <v>293</v>
      </c>
      <c r="S15" s="254" t="s">
        <v>308</v>
      </c>
      <c r="T15" s="206" t="str">
        <f t="shared" si="0"/>
        <v>MZM/NR</v>
      </c>
      <c r="U15" s="207">
        <v>9.31</v>
      </c>
      <c r="V15" s="188" t="s">
        <v>276</v>
      </c>
    </row>
    <row r="16" spans="1:22" ht="14.25" customHeight="1">
      <c r="A16" s="200">
        <v>100</v>
      </c>
      <c r="B16" s="200" t="s">
        <v>161</v>
      </c>
      <c r="C16" s="187" t="s">
        <v>178</v>
      </c>
      <c r="D16" s="187"/>
      <c r="E16" s="187"/>
      <c r="G16" s="214"/>
      <c r="H16" s="219" t="s">
        <v>312</v>
      </c>
      <c r="I16" s="203">
        <v>15.3</v>
      </c>
      <c r="K16" s="302"/>
      <c r="L16" s="218" t="s">
        <v>275</v>
      </c>
      <c r="M16" s="218" t="s">
        <v>275</v>
      </c>
      <c r="N16" s="218" t="s">
        <v>313</v>
      </c>
      <c r="O16" s="205">
        <v>14.25</v>
      </c>
      <c r="Q16" s="302"/>
      <c r="R16" s="254" t="s">
        <v>277</v>
      </c>
      <c r="S16" s="254" t="s">
        <v>308</v>
      </c>
      <c r="T16" s="206" t="str">
        <f t="shared" si="0"/>
        <v>MZB/NR</v>
      </c>
      <c r="U16" s="207">
        <v>9.31</v>
      </c>
      <c r="V16" s="188" t="s">
        <v>276</v>
      </c>
    </row>
    <row r="17" spans="1:22">
      <c r="A17" s="200">
        <v>250</v>
      </c>
      <c r="B17" s="200" t="s">
        <v>156</v>
      </c>
      <c r="C17" s="200" t="s">
        <v>180</v>
      </c>
      <c r="D17" s="187"/>
      <c r="E17" s="187"/>
      <c r="G17" s="220" t="s">
        <v>314</v>
      </c>
      <c r="H17" s="221" t="s">
        <v>315</v>
      </c>
      <c r="I17" s="203">
        <v>19.3</v>
      </c>
      <c r="K17" s="302"/>
      <c r="L17" s="218" t="s">
        <v>275</v>
      </c>
      <c r="M17" s="218" t="s">
        <v>275</v>
      </c>
      <c r="N17" s="218" t="s">
        <v>316</v>
      </c>
      <c r="O17" s="205">
        <v>14.84</v>
      </c>
      <c r="Q17" s="303"/>
      <c r="R17" s="254" t="s">
        <v>298</v>
      </c>
      <c r="S17" s="254" t="s">
        <v>308</v>
      </c>
      <c r="T17" s="206" t="str">
        <f t="shared" si="0"/>
        <v>MZH/NR</v>
      </c>
      <c r="U17" s="207">
        <v>9.31</v>
      </c>
      <c r="V17" s="188" t="s">
        <v>276</v>
      </c>
    </row>
    <row r="18" spans="1:22">
      <c r="A18" s="187"/>
      <c r="B18" s="187"/>
      <c r="C18" s="187"/>
      <c r="D18" s="187"/>
      <c r="E18" s="187"/>
      <c r="G18" s="220"/>
      <c r="H18" s="221" t="s">
        <v>317</v>
      </c>
      <c r="I18" s="203">
        <v>18.3</v>
      </c>
      <c r="K18" s="302"/>
      <c r="L18" s="218" t="s">
        <v>275</v>
      </c>
      <c r="M18" s="218" t="s">
        <v>275</v>
      </c>
      <c r="N18" s="218" t="s">
        <v>318</v>
      </c>
      <c r="O18" s="205">
        <v>16.829999999999998</v>
      </c>
      <c r="Q18" s="362" t="s">
        <v>319</v>
      </c>
      <c r="R18" s="254" t="s">
        <v>315</v>
      </c>
      <c r="S18" s="254" t="s">
        <v>297</v>
      </c>
      <c r="T18" s="206" t="str">
        <f t="shared" si="0"/>
        <v>EGT/MZM_M</v>
      </c>
      <c r="U18" s="207">
        <v>9.8699999999999992</v>
      </c>
      <c r="V18" s="188" t="s">
        <v>319</v>
      </c>
    </row>
    <row r="19" spans="1:22">
      <c r="A19" s="187"/>
      <c r="B19" s="187"/>
      <c r="C19" s="187"/>
      <c r="D19" s="187"/>
      <c r="E19" s="187"/>
      <c r="G19" s="222"/>
      <c r="H19" s="223" t="s">
        <v>320</v>
      </c>
      <c r="I19" s="203">
        <v>17.7</v>
      </c>
      <c r="K19" s="302"/>
      <c r="L19" s="218" t="s">
        <v>275</v>
      </c>
      <c r="M19" s="218" t="s">
        <v>275</v>
      </c>
      <c r="N19" s="218" t="s">
        <v>321</v>
      </c>
      <c r="O19" s="205">
        <v>14.84</v>
      </c>
      <c r="Q19" s="302"/>
      <c r="R19" s="254" t="s">
        <v>315</v>
      </c>
      <c r="S19" s="254" t="s">
        <v>278</v>
      </c>
      <c r="T19" s="206" t="str">
        <f t="shared" si="0"/>
        <v>EGT/MZB_EQ</v>
      </c>
      <c r="U19" s="207">
        <v>9.8699999999999992</v>
      </c>
      <c r="V19" s="188" t="s">
        <v>319</v>
      </c>
    </row>
    <row r="20" spans="1:22">
      <c r="A20" s="224" t="s">
        <v>322</v>
      </c>
      <c r="B20" s="224"/>
      <c r="C20" s="187"/>
      <c r="D20" s="187"/>
      <c r="E20" s="187"/>
      <c r="K20" s="303"/>
      <c r="L20" s="225" t="s">
        <v>323</v>
      </c>
      <c r="M20" s="225" t="s">
        <v>324</v>
      </c>
      <c r="N20" s="225" t="s">
        <v>325</v>
      </c>
      <c r="O20" s="205">
        <v>14.84</v>
      </c>
      <c r="Q20" s="302"/>
      <c r="R20" s="254" t="s">
        <v>315</v>
      </c>
      <c r="S20" s="254" t="s">
        <v>326</v>
      </c>
      <c r="T20" s="206" t="str">
        <f t="shared" si="0"/>
        <v>EGT/-</v>
      </c>
      <c r="U20" s="207">
        <v>9.8699999999999992</v>
      </c>
      <c r="V20" s="188" t="s">
        <v>319</v>
      </c>
    </row>
    <row r="21" spans="1:22">
      <c r="A21" s="200" t="s">
        <v>327</v>
      </c>
      <c r="B21" s="200" t="s">
        <v>328</v>
      </c>
      <c r="C21" s="187"/>
      <c r="D21" s="187"/>
      <c r="E21" s="187"/>
      <c r="K21" s="360" t="s">
        <v>329</v>
      </c>
      <c r="L21" s="226" t="s">
        <v>275</v>
      </c>
      <c r="M21" s="226" t="s">
        <v>304</v>
      </c>
      <c r="N21" s="226" t="s">
        <v>330</v>
      </c>
      <c r="O21" s="205">
        <v>11.15</v>
      </c>
      <c r="Q21" s="302"/>
      <c r="R21" s="254" t="s">
        <v>317</v>
      </c>
      <c r="S21" s="254" t="s">
        <v>278</v>
      </c>
      <c r="T21" s="206" t="str">
        <f t="shared" si="0"/>
        <v>EPG/MZB_EQ</v>
      </c>
      <c r="U21" s="207">
        <v>9.8699999999999992</v>
      </c>
      <c r="V21" s="188" t="s">
        <v>319</v>
      </c>
    </row>
    <row r="22" spans="1:22">
      <c r="A22" s="200" t="s">
        <v>331</v>
      </c>
      <c r="B22" s="200" t="s">
        <v>332</v>
      </c>
      <c r="C22" s="187"/>
      <c r="D22" s="187"/>
      <c r="E22" s="187"/>
      <c r="K22" s="302"/>
      <c r="L22" s="226" t="s">
        <v>275</v>
      </c>
      <c r="M22" s="226" t="s">
        <v>305</v>
      </c>
      <c r="N22" s="226" t="s">
        <v>333</v>
      </c>
      <c r="O22" s="205">
        <v>12.63</v>
      </c>
      <c r="Q22" s="302"/>
      <c r="R22" s="254" t="s">
        <v>317</v>
      </c>
      <c r="S22" s="254" t="s">
        <v>297</v>
      </c>
      <c r="T22" s="206" t="str">
        <f t="shared" si="0"/>
        <v>EPG/MZM_M</v>
      </c>
      <c r="U22" s="207">
        <v>9.8699999999999992</v>
      </c>
      <c r="V22" s="188" t="s">
        <v>319</v>
      </c>
    </row>
    <row r="23" spans="1:22">
      <c r="A23" s="200" t="s">
        <v>334</v>
      </c>
      <c r="B23" s="200" t="s">
        <v>335</v>
      </c>
      <c r="C23" s="187"/>
      <c r="D23" s="187"/>
      <c r="E23" s="187"/>
      <c r="K23" s="302"/>
      <c r="L23" s="226" t="s">
        <v>275</v>
      </c>
      <c r="M23" s="226" t="s">
        <v>336</v>
      </c>
      <c r="N23" s="226" t="s">
        <v>337</v>
      </c>
      <c r="O23" s="205">
        <v>12.63</v>
      </c>
      <c r="Q23" s="302"/>
      <c r="R23" s="254" t="s">
        <v>317</v>
      </c>
      <c r="S23" s="254" t="s">
        <v>302</v>
      </c>
      <c r="T23" s="206" t="str">
        <f t="shared" si="0"/>
        <v>EPG/MZD</v>
      </c>
      <c r="U23" s="207">
        <v>9.8699999999999992</v>
      </c>
      <c r="V23" s="188" t="s">
        <v>319</v>
      </c>
    </row>
    <row r="24" spans="1:22">
      <c r="A24" s="187"/>
      <c r="B24" s="187"/>
      <c r="C24" s="187"/>
      <c r="D24" s="187"/>
      <c r="E24" s="187"/>
      <c r="K24" s="302"/>
      <c r="L24" s="226" t="s">
        <v>275</v>
      </c>
      <c r="M24" s="226" t="s">
        <v>309</v>
      </c>
      <c r="N24" s="226" t="s">
        <v>333</v>
      </c>
      <c r="O24" s="205">
        <v>12.63</v>
      </c>
      <c r="Q24" s="303"/>
      <c r="R24" s="254" t="s">
        <v>317</v>
      </c>
      <c r="S24" s="254" t="s">
        <v>326</v>
      </c>
      <c r="T24" s="206" t="str">
        <f t="shared" si="0"/>
        <v>EPG/-</v>
      </c>
      <c r="U24" s="207">
        <v>9.8699999999999992</v>
      </c>
      <c r="V24" s="188" t="s">
        <v>319</v>
      </c>
    </row>
    <row r="25" spans="1:22">
      <c r="A25" s="224" t="s">
        <v>338</v>
      </c>
      <c r="B25" s="224"/>
      <c r="C25" s="187"/>
      <c r="D25" s="187"/>
      <c r="E25" s="187"/>
      <c r="K25" s="302"/>
      <c r="L25" s="227" t="s">
        <v>275</v>
      </c>
      <c r="M25" s="227" t="s">
        <v>282</v>
      </c>
      <c r="N25" s="227" t="s">
        <v>337</v>
      </c>
      <c r="O25" s="205">
        <v>11.78</v>
      </c>
      <c r="Q25" s="362" t="s">
        <v>339</v>
      </c>
      <c r="R25" s="254" t="s">
        <v>340</v>
      </c>
      <c r="S25" s="254" t="s">
        <v>340</v>
      </c>
      <c r="T25" s="206" t="str">
        <f t="shared" si="0"/>
        <v>TBX/TBX</v>
      </c>
      <c r="U25" s="207">
        <v>13.72</v>
      </c>
      <c r="V25" s="188" t="s">
        <v>339</v>
      </c>
    </row>
    <row r="26" spans="1:22">
      <c r="A26" s="200" t="s">
        <v>248</v>
      </c>
      <c r="B26" s="200" t="s">
        <v>341</v>
      </c>
      <c r="C26" s="187"/>
      <c r="D26" s="187"/>
      <c r="E26" s="187"/>
      <c r="K26" s="302"/>
      <c r="L26" s="228" t="s">
        <v>275</v>
      </c>
      <c r="M26" s="228" t="s">
        <v>287</v>
      </c>
      <c r="N26" s="228" t="s">
        <v>333</v>
      </c>
      <c r="O26" s="205">
        <v>13.34</v>
      </c>
      <c r="Q26" s="302"/>
      <c r="R26" s="254" t="s">
        <v>342</v>
      </c>
      <c r="S26" s="254" t="s">
        <v>340</v>
      </c>
      <c r="T26" s="206" t="str">
        <f t="shared" si="0"/>
        <v>BX/TBX</v>
      </c>
      <c r="U26" s="207">
        <v>13.72</v>
      </c>
      <c r="V26" s="188" t="s">
        <v>339</v>
      </c>
    </row>
    <row r="27" spans="1:22">
      <c r="A27" s="200" t="s">
        <v>250</v>
      </c>
      <c r="B27" s="200" t="s">
        <v>343</v>
      </c>
      <c r="C27" s="187"/>
      <c r="D27" s="187"/>
      <c r="E27" s="187"/>
      <c r="K27" s="302"/>
      <c r="L27" s="229" t="s">
        <v>323</v>
      </c>
      <c r="M27" s="229" t="s">
        <v>324</v>
      </c>
      <c r="N27" s="229" t="s">
        <v>326</v>
      </c>
      <c r="O27" s="205">
        <v>12.63</v>
      </c>
      <c r="Q27" s="302"/>
      <c r="R27" s="254" t="s">
        <v>344</v>
      </c>
      <c r="S27" s="254" t="s">
        <v>344</v>
      </c>
      <c r="T27" s="206" t="str">
        <f t="shared" si="0"/>
        <v>HBX/HBX</v>
      </c>
      <c r="U27" s="207">
        <v>11.41</v>
      </c>
      <c r="V27" s="188" t="s">
        <v>339</v>
      </c>
    </row>
    <row r="28" spans="1:22">
      <c r="A28" s="200" t="s">
        <v>244</v>
      </c>
      <c r="B28" s="200" t="s">
        <v>345</v>
      </c>
      <c r="C28" s="187"/>
      <c r="D28" s="187"/>
      <c r="E28" s="187"/>
      <c r="K28" s="303"/>
      <c r="L28" s="230" t="s">
        <v>346</v>
      </c>
      <c r="M28" s="230" t="s">
        <v>347</v>
      </c>
      <c r="N28" s="230" t="s">
        <v>326</v>
      </c>
      <c r="O28" s="205">
        <v>12.63</v>
      </c>
      <c r="Q28" s="303"/>
      <c r="R28" s="254" t="s">
        <v>348</v>
      </c>
      <c r="S28" s="254" t="s">
        <v>348</v>
      </c>
      <c r="T28" s="206" t="str">
        <f t="shared" si="0"/>
        <v>MBX/MBX</v>
      </c>
      <c r="U28" s="207">
        <v>11.41</v>
      </c>
      <c r="V28" s="188" t="s">
        <v>339</v>
      </c>
    </row>
    <row r="29" spans="1:22">
      <c r="A29" s="187"/>
      <c r="B29" s="187"/>
      <c r="C29" s="187"/>
      <c r="D29" s="187"/>
      <c r="E29" s="187"/>
      <c r="K29" s="360" t="s">
        <v>339</v>
      </c>
      <c r="L29" s="208" t="s">
        <v>340</v>
      </c>
      <c r="M29" s="208" t="s">
        <v>340</v>
      </c>
      <c r="N29" s="208" t="s">
        <v>340</v>
      </c>
      <c r="O29" s="205">
        <v>13.72</v>
      </c>
      <c r="Q29" s="362" t="s">
        <v>349</v>
      </c>
      <c r="R29" s="254" t="s">
        <v>275</v>
      </c>
      <c r="S29" s="254" t="s">
        <v>275</v>
      </c>
      <c r="T29" s="206" t="str">
        <f t="shared" si="0"/>
        <v>LMT/LMT</v>
      </c>
      <c r="U29" s="207">
        <v>14.84</v>
      </c>
      <c r="V29" s="188" t="s">
        <v>349</v>
      </c>
    </row>
    <row r="30" spans="1:22">
      <c r="K30" s="302"/>
      <c r="L30" s="208" t="s">
        <v>344</v>
      </c>
      <c r="M30" s="208" t="s">
        <v>344</v>
      </c>
      <c r="N30" s="208" t="s">
        <v>344</v>
      </c>
      <c r="O30" s="205">
        <v>11.41</v>
      </c>
      <c r="Q30" s="302"/>
      <c r="R30" s="254" t="s">
        <v>275</v>
      </c>
      <c r="S30" s="254" t="s">
        <v>308</v>
      </c>
      <c r="T30" s="206" t="str">
        <f t="shared" si="0"/>
        <v>LMT/NR</v>
      </c>
      <c r="U30" s="207">
        <v>14.84</v>
      </c>
      <c r="V30" s="188" t="s">
        <v>349</v>
      </c>
    </row>
    <row r="31" spans="1:22" ht="25.5" customHeight="1">
      <c r="K31" s="303"/>
      <c r="L31" s="208" t="s">
        <v>350</v>
      </c>
      <c r="M31" s="208" t="s">
        <v>348</v>
      </c>
      <c r="N31" s="208" t="s">
        <v>348</v>
      </c>
      <c r="O31" s="205">
        <v>11.41</v>
      </c>
      <c r="Q31" s="302"/>
      <c r="R31" s="254" t="s">
        <v>275</v>
      </c>
      <c r="S31" s="254" t="s">
        <v>311</v>
      </c>
      <c r="T31" s="206" t="str">
        <f t="shared" si="0"/>
        <v>LMT/LMT_M</v>
      </c>
      <c r="U31" s="207">
        <v>14.74</v>
      </c>
      <c r="V31" s="188" t="s">
        <v>349</v>
      </c>
    </row>
    <row r="32" spans="1:22">
      <c r="K32" s="360" t="s">
        <v>319</v>
      </c>
      <c r="L32" s="231" t="s">
        <v>351</v>
      </c>
      <c r="M32" s="231" t="s">
        <v>317</v>
      </c>
      <c r="N32" s="231" t="s">
        <v>326</v>
      </c>
      <c r="O32" s="205">
        <v>9.8699999999999992</v>
      </c>
      <c r="Q32" s="302"/>
      <c r="R32" s="254" t="s">
        <v>275</v>
      </c>
      <c r="S32" s="254" t="s">
        <v>352</v>
      </c>
      <c r="T32" s="206" t="str">
        <f t="shared" si="0"/>
        <v>LMT/LMT_MG</v>
      </c>
      <c r="U32" s="207">
        <v>14.25</v>
      </c>
      <c r="V32" s="188" t="s">
        <v>349</v>
      </c>
    </row>
    <row r="33" spans="11:22">
      <c r="K33" s="303"/>
      <c r="L33" s="231" t="s">
        <v>351</v>
      </c>
      <c r="M33" s="231" t="s">
        <v>315</v>
      </c>
      <c r="N33" s="231" t="s">
        <v>326</v>
      </c>
      <c r="O33" s="205">
        <v>9.8699999999999992</v>
      </c>
      <c r="Q33" s="302"/>
      <c r="R33" s="254" t="s">
        <v>275</v>
      </c>
      <c r="S33" s="254" t="s">
        <v>316</v>
      </c>
      <c r="T33" s="206" t="str">
        <f t="shared" si="0"/>
        <v>LMT/LMT_S</v>
      </c>
      <c r="U33" s="207">
        <v>14.84</v>
      </c>
      <c r="V33" s="188" t="s">
        <v>349</v>
      </c>
    </row>
    <row r="34" spans="11:22">
      <c r="Q34" s="302"/>
      <c r="R34" s="254" t="s">
        <v>275</v>
      </c>
      <c r="S34" s="254" t="s">
        <v>318</v>
      </c>
      <c r="T34" s="206" t="str">
        <f t="shared" si="0"/>
        <v>LMT/LMT_C</v>
      </c>
      <c r="U34" s="207">
        <v>16.829999999999998</v>
      </c>
      <c r="V34" s="188" t="s">
        <v>349</v>
      </c>
    </row>
    <row r="35" spans="11:22">
      <c r="K35" s="232" t="s">
        <v>353</v>
      </c>
      <c r="L35" s="233"/>
      <c r="M35" s="233"/>
      <c r="N35" s="233"/>
      <c r="O35" s="233"/>
      <c r="Q35" s="302"/>
      <c r="R35" s="254" t="s">
        <v>324</v>
      </c>
      <c r="S35" s="254" t="s">
        <v>325</v>
      </c>
      <c r="T35" s="206" t="str">
        <f t="shared" ref="T35:T66" si="1">CONCATENATE(R35,"/",S35)</f>
        <v>HFL/SHL_MA</v>
      </c>
      <c r="U35" s="207">
        <v>14.84</v>
      </c>
      <c r="V35" s="188" t="s">
        <v>349</v>
      </c>
    </row>
    <row r="36" spans="11:22">
      <c r="K36" s="233" t="s">
        <v>354</v>
      </c>
      <c r="L36" s="233"/>
      <c r="M36" s="233"/>
      <c r="N36" s="233"/>
      <c r="O36" s="233"/>
      <c r="Q36" s="302"/>
      <c r="R36" s="254" t="s">
        <v>355</v>
      </c>
      <c r="S36" s="254" t="s">
        <v>355</v>
      </c>
      <c r="T36" s="206" t="str">
        <f t="shared" si="1"/>
        <v>OVD/OVD</v>
      </c>
      <c r="U36" s="207">
        <v>14.84</v>
      </c>
      <c r="V36" s="188" t="s">
        <v>349</v>
      </c>
    </row>
    <row r="37" spans="11:22">
      <c r="K37" s="233" t="s">
        <v>356</v>
      </c>
      <c r="L37" s="233"/>
      <c r="M37" s="233"/>
      <c r="N37" s="233"/>
      <c r="O37" s="233"/>
      <c r="Q37" s="303"/>
      <c r="R37" s="254" t="s">
        <v>355</v>
      </c>
      <c r="S37" s="254" t="s">
        <v>326</v>
      </c>
      <c r="T37" s="206" t="str">
        <f t="shared" si="1"/>
        <v>OVD/-</v>
      </c>
      <c r="U37" s="207">
        <v>14.84</v>
      </c>
      <c r="V37" s="188" t="s">
        <v>349</v>
      </c>
    </row>
    <row r="38" spans="11:22">
      <c r="Q38" s="362" t="s">
        <v>329</v>
      </c>
      <c r="R38" s="254" t="s">
        <v>304</v>
      </c>
      <c r="S38" s="254" t="s">
        <v>311</v>
      </c>
      <c r="T38" s="206" t="str">
        <f t="shared" si="1"/>
        <v>GSK/LMT_M</v>
      </c>
      <c r="U38" s="207">
        <v>11.15</v>
      </c>
      <c r="V38" s="188" t="s">
        <v>329</v>
      </c>
    </row>
    <row r="39" spans="11:22">
      <c r="Q39" s="302"/>
      <c r="R39" s="254" t="s">
        <v>304</v>
      </c>
      <c r="S39" s="254" t="s">
        <v>318</v>
      </c>
      <c r="T39" s="206" t="str">
        <f t="shared" si="1"/>
        <v>GSK/LMT_C</v>
      </c>
      <c r="U39" s="207">
        <v>11.15</v>
      </c>
      <c r="V39" s="188" t="s">
        <v>329</v>
      </c>
    </row>
    <row r="40" spans="11:22">
      <c r="Q40" s="302"/>
      <c r="R40" s="254" t="s">
        <v>304</v>
      </c>
      <c r="S40" s="254" t="s">
        <v>316</v>
      </c>
      <c r="T40" s="206" t="str">
        <f t="shared" si="1"/>
        <v>GSK/LMT_S</v>
      </c>
      <c r="U40" s="207">
        <v>11.15</v>
      </c>
      <c r="V40" s="188" t="s">
        <v>329</v>
      </c>
    </row>
    <row r="41" spans="11:22">
      <c r="Q41" s="302"/>
      <c r="R41" s="254" t="s">
        <v>304</v>
      </c>
      <c r="S41" s="254" t="s">
        <v>321</v>
      </c>
      <c r="T41" s="206" t="str">
        <f t="shared" si="1"/>
        <v>GSK/LMT_U</v>
      </c>
      <c r="U41" s="207">
        <v>11.15</v>
      </c>
      <c r="V41" s="188" t="s">
        <v>329</v>
      </c>
    </row>
    <row r="42" spans="11:22">
      <c r="Q42" s="302"/>
      <c r="R42" s="254" t="s">
        <v>304</v>
      </c>
      <c r="S42" s="254" t="s">
        <v>333</v>
      </c>
      <c r="T42" s="206" t="str">
        <f t="shared" si="1"/>
        <v>GSK/Varios</v>
      </c>
      <c r="U42" s="207">
        <v>11.15</v>
      </c>
      <c r="V42" s="188" t="s">
        <v>329</v>
      </c>
    </row>
    <row r="43" spans="11:22">
      <c r="Q43" s="302"/>
      <c r="R43" s="254" t="s">
        <v>305</v>
      </c>
      <c r="S43" s="254" t="s">
        <v>352</v>
      </c>
      <c r="T43" s="206" t="str">
        <f t="shared" si="1"/>
        <v>PSK/LMT_MG</v>
      </c>
      <c r="U43" s="207">
        <v>12.63</v>
      </c>
      <c r="V43" s="188" t="s">
        <v>329</v>
      </c>
    </row>
    <row r="44" spans="11:22">
      <c r="Q44" s="302"/>
      <c r="R44" s="254" t="s">
        <v>305</v>
      </c>
      <c r="S44" s="254" t="s">
        <v>318</v>
      </c>
      <c r="T44" s="206" t="str">
        <f t="shared" si="1"/>
        <v>PSK/LMT_C</v>
      </c>
      <c r="U44" s="207">
        <v>12.63</v>
      </c>
      <c r="V44" s="188" t="s">
        <v>329</v>
      </c>
    </row>
    <row r="45" spans="11:22">
      <c r="Q45" s="302"/>
      <c r="R45" s="254" t="s">
        <v>305</v>
      </c>
      <c r="S45" s="254" t="s">
        <v>316</v>
      </c>
      <c r="T45" s="206" t="str">
        <f t="shared" si="1"/>
        <v>PSK/LMT_S</v>
      </c>
      <c r="U45" s="207">
        <v>12.63</v>
      </c>
      <c r="V45" s="188" t="s">
        <v>329</v>
      </c>
    </row>
    <row r="46" spans="11:22">
      <c r="Q46" s="302"/>
      <c r="R46" s="254" t="s">
        <v>305</v>
      </c>
      <c r="S46" s="254" t="s">
        <v>321</v>
      </c>
      <c r="T46" s="206" t="str">
        <f t="shared" si="1"/>
        <v>PSK/LMT_U</v>
      </c>
      <c r="U46" s="207">
        <v>12.63</v>
      </c>
      <c r="V46" s="188" t="s">
        <v>329</v>
      </c>
    </row>
    <row r="47" spans="11:22">
      <c r="Q47" s="302"/>
      <c r="R47" s="254" t="s">
        <v>336</v>
      </c>
      <c r="S47" s="254" t="s">
        <v>352</v>
      </c>
      <c r="T47" s="206" t="str">
        <f t="shared" si="1"/>
        <v>MSK/LMT_MG</v>
      </c>
      <c r="U47" s="207">
        <v>12.63</v>
      </c>
      <c r="V47" s="188" t="s">
        <v>329</v>
      </c>
    </row>
    <row r="48" spans="11:22">
      <c r="Q48" s="302"/>
      <c r="R48" s="254" t="s">
        <v>336</v>
      </c>
      <c r="S48" s="254" t="s">
        <v>316</v>
      </c>
      <c r="T48" s="206" t="str">
        <f t="shared" si="1"/>
        <v>MSK/LMT_S</v>
      </c>
      <c r="U48" s="207">
        <v>12.63</v>
      </c>
      <c r="V48" s="188" t="s">
        <v>329</v>
      </c>
    </row>
    <row r="49" spans="1:22">
      <c r="A49" s="27" t="s">
        <v>357</v>
      </c>
      <c r="B49" s="27" t="s">
        <v>358</v>
      </c>
      <c r="Q49" s="302"/>
      <c r="R49" s="254" t="s">
        <v>309</v>
      </c>
      <c r="S49" s="254" t="s">
        <v>311</v>
      </c>
      <c r="T49" s="206" t="str">
        <f t="shared" si="1"/>
        <v>ESK/LMT_M</v>
      </c>
      <c r="U49" s="207">
        <v>12.63</v>
      </c>
      <c r="V49" s="188" t="s">
        <v>329</v>
      </c>
    </row>
    <row r="50" spans="1:22" ht="13.5" customHeight="1" thickBot="1">
      <c r="A50" s="4"/>
      <c r="B50" s="4"/>
      <c r="Q50" s="302"/>
      <c r="R50" s="254" t="s">
        <v>309</v>
      </c>
      <c r="S50" s="254" t="s">
        <v>352</v>
      </c>
      <c r="T50" s="206" t="str">
        <f t="shared" si="1"/>
        <v>ESK/LMT_MG</v>
      </c>
      <c r="U50" s="207">
        <v>12.63</v>
      </c>
      <c r="V50" s="188" t="s">
        <v>329</v>
      </c>
    </row>
    <row r="51" spans="1:22">
      <c r="A51" s="365" t="s">
        <v>359</v>
      </c>
      <c r="B51" s="366"/>
      <c r="Q51" s="302"/>
      <c r="R51" s="254" t="s">
        <v>309</v>
      </c>
      <c r="S51" s="254" t="s">
        <v>318</v>
      </c>
      <c r="T51" s="206" t="str">
        <f t="shared" si="1"/>
        <v>ESK/LMT_C</v>
      </c>
      <c r="U51" s="207">
        <v>12.63</v>
      </c>
      <c r="V51" s="188" t="s">
        <v>329</v>
      </c>
    </row>
    <row r="52" spans="1:22">
      <c r="A52" s="11" t="s">
        <v>360</v>
      </c>
      <c r="B52" s="11" t="s">
        <v>361</v>
      </c>
      <c r="Q52" s="302"/>
      <c r="R52" s="254" t="s">
        <v>309</v>
      </c>
      <c r="S52" s="254" t="s">
        <v>316</v>
      </c>
      <c r="T52" s="206" t="str">
        <f t="shared" si="1"/>
        <v>ESK/LMT_S</v>
      </c>
      <c r="U52" s="207">
        <v>12.63</v>
      </c>
      <c r="V52" s="188" t="s">
        <v>329</v>
      </c>
    </row>
    <row r="53" spans="1:22">
      <c r="A53" s="11" t="s">
        <v>362</v>
      </c>
      <c r="B53" s="3" t="s">
        <v>363</v>
      </c>
      <c r="Q53" s="302"/>
      <c r="R53" s="254" t="s">
        <v>309</v>
      </c>
      <c r="S53" s="254" t="s">
        <v>333</v>
      </c>
      <c r="T53" s="206" t="str">
        <f t="shared" si="1"/>
        <v>ESK/Varios</v>
      </c>
      <c r="U53" s="207">
        <v>12.63</v>
      </c>
      <c r="V53" s="188" t="s">
        <v>329</v>
      </c>
    </row>
    <row r="54" spans="1:22">
      <c r="A54" s="11" t="s">
        <v>364</v>
      </c>
      <c r="B54" s="3" t="s">
        <v>365</v>
      </c>
      <c r="Q54" s="302"/>
      <c r="R54" s="254" t="s">
        <v>282</v>
      </c>
      <c r="S54" s="254" t="s">
        <v>311</v>
      </c>
      <c r="T54" s="206" t="str">
        <f t="shared" si="1"/>
        <v>MBC/LMT_M</v>
      </c>
      <c r="U54" s="207">
        <v>11.78</v>
      </c>
      <c r="V54" s="188" t="s">
        <v>329</v>
      </c>
    </row>
    <row r="55" spans="1:22">
      <c r="A55" s="11" t="s">
        <v>366</v>
      </c>
      <c r="B55" s="3" t="s">
        <v>252</v>
      </c>
      <c r="Q55" s="302"/>
      <c r="R55" s="254" t="s">
        <v>282</v>
      </c>
      <c r="S55" s="254" t="s">
        <v>352</v>
      </c>
      <c r="T55" s="206" t="str">
        <f t="shared" si="1"/>
        <v>MBC/LMT_MG</v>
      </c>
      <c r="U55" s="207">
        <v>11.78</v>
      </c>
      <c r="V55" s="188" t="s">
        <v>329</v>
      </c>
    </row>
    <row r="56" spans="1:22">
      <c r="A56" s="11" t="s">
        <v>367</v>
      </c>
      <c r="B56" s="3" t="s">
        <v>368</v>
      </c>
      <c r="Q56" s="302"/>
      <c r="R56" s="254" t="s">
        <v>282</v>
      </c>
      <c r="S56" s="254" t="s">
        <v>316</v>
      </c>
      <c r="T56" s="206" t="str">
        <f t="shared" si="1"/>
        <v>MBC/LMT_S</v>
      </c>
      <c r="U56" s="207">
        <v>11.78</v>
      </c>
      <c r="V56" s="188" t="s">
        <v>329</v>
      </c>
    </row>
    <row r="57" spans="1:22">
      <c r="A57" s="11" t="s">
        <v>369</v>
      </c>
      <c r="B57" s="3" t="s">
        <v>244</v>
      </c>
      <c r="Q57" s="302"/>
      <c r="R57" s="254" t="s">
        <v>282</v>
      </c>
      <c r="S57" s="254" t="s">
        <v>333</v>
      </c>
      <c r="T57" s="206" t="str">
        <f t="shared" si="1"/>
        <v>MBC/Varios</v>
      </c>
      <c r="U57" s="207">
        <v>11.78</v>
      </c>
      <c r="V57" s="188" t="s">
        <v>329</v>
      </c>
    </row>
    <row r="58" spans="1:22">
      <c r="A58" s="11" t="s">
        <v>370</v>
      </c>
      <c r="B58" s="3"/>
      <c r="Q58" s="302"/>
      <c r="R58" s="254" t="s">
        <v>287</v>
      </c>
      <c r="S58" s="254" t="s">
        <v>352</v>
      </c>
      <c r="T58" s="206" t="str">
        <f t="shared" si="1"/>
        <v>MBL/LMT_MG</v>
      </c>
      <c r="U58" s="207">
        <v>13.34</v>
      </c>
      <c r="V58" s="188" t="s">
        <v>329</v>
      </c>
    </row>
    <row r="59" spans="1:22" ht="15.75" customHeight="1" thickBot="1">
      <c r="A59" s="4"/>
      <c r="B59" s="4"/>
      <c r="P59" s="234"/>
      <c r="Q59" s="302"/>
      <c r="R59" s="254" t="s">
        <v>287</v>
      </c>
      <c r="S59" s="254" t="s">
        <v>311</v>
      </c>
      <c r="T59" s="206" t="str">
        <f t="shared" si="1"/>
        <v>MBL/LMT_M</v>
      </c>
      <c r="U59" s="207">
        <v>13.34</v>
      </c>
      <c r="V59" s="188" t="s">
        <v>329</v>
      </c>
    </row>
    <row r="60" spans="1:22">
      <c r="A60" s="378" t="s">
        <v>371</v>
      </c>
      <c r="B60" s="379"/>
      <c r="Q60" s="302"/>
      <c r="R60" s="254" t="s">
        <v>287</v>
      </c>
      <c r="S60" s="254" t="s">
        <v>318</v>
      </c>
      <c r="T60" s="206" t="str">
        <f t="shared" si="1"/>
        <v>MBL/LMT_C</v>
      </c>
      <c r="U60" s="207">
        <v>13.34</v>
      </c>
      <c r="V60" s="188" t="s">
        <v>329</v>
      </c>
    </row>
    <row r="61" spans="1:22">
      <c r="A61" s="380"/>
      <c r="B61" s="381"/>
      <c r="Q61" s="303"/>
      <c r="R61" s="254" t="s">
        <v>287</v>
      </c>
      <c r="S61" s="254" t="s">
        <v>333</v>
      </c>
      <c r="T61" s="206" t="str">
        <f t="shared" si="1"/>
        <v>MBL/Varios</v>
      </c>
      <c r="U61" s="207">
        <v>13.34</v>
      </c>
      <c r="V61" s="188" t="s">
        <v>329</v>
      </c>
    </row>
    <row r="62" spans="1:22">
      <c r="A62" s="235" t="s">
        <v>372</v>
      </c>
      <c r="B62" s="236">
        <v>0</v>
      </c>
    </row>
    <row r="63" spans="1:22">
      <c r="A63" s="235" t="s">
        <v>373</v>
      </c>
      <c r="B63" s="236">
        <v>1</v>
      </c>
    </row>
    <row r="64" spans="1:22" ht="18" customHeight="1">
      <c r="A64" s="237" t="s">
        <v>374</v>
      </c>
      <c r="B64" s="238">
        <v>2</v>
      </c>
    </row>
    <row r="66" spans="1:9">
      <c r="A66" s="368" t="s">
        <v>375</v>
      </c>
      <c r="B66" s="308"/>
    </row>
    <row r="67" spans="1:9" s="4" customFormat="1" ht="9.75" customHeight="1">
      <c r="A67" s="11" t="s">
        <v>376</v>
      </c>
      <c r="B67" s="3" t="s">
        <v>377</v>
      </c>
    </row>
    <row r="68" spans="1:9" s="4" customFormat="1">
      <c r="A68" s="11" t="s">
        <v>378</v>
      </c>
      <c r="B68" s="3" t="s">
        <v>379</v>
      </c>
    </row>
    <row r="69" spans="1:9" s="4" customFormat="1">
      <c r="A69" s="11" t="s">
        <v>380</v>
      </c>
      <c r="B69" s="3" t="s">
        <v>244</v>
      </c>
    </row>
    <row r="70" spans="1:9" s="4" customFormat="1">
      <c r="A70" s="11" t="s">
        <v>381</v>
      </c>
      <c r="B70" s="3" t="s">
        <v>250</v>
      </c>
    </row>
    <row r="71" spans="1:9" s="4" customFormat="1">
      <c r="A71" s="11" t="s">
        <v>291</v>
      </c>
      <c r="B71" s="3" t="s">
        <v>290</v>
      </c>
    </row>
    <row r="72" spans="1:9" s="4" customFormat="1"/>
    <row r="73" spans="1:9" s="4" customFormat="1"/>
    <row r="74" spans="1:9" s="4" customFormat="1">
      <c r="A74" s="368" t="s">
        <v>22</v>
      </c>
      <c r="B74" s="315"/>
      <c r="C74" s="308"/>
    </row>
    <row r="75" spans="1:9" s="4" customFormat="1" ht="18" customHeight="1">
      <c r="A75" s="5" t="s">
        <v>382</v>
      </c>
      <c r="B75" s="6" t="s">
        <v>383</v>
      </c>
      <c r="C75" s="253">
        <v>1</v>
      </c>
    </row>
    <row r="76" spans="1:9" s="4" customFormat="1" ht="49.15" customHeight="1">
      <c r="A76" s="359" t="s">
        <v>384</v>
      </c>
      <c r="B76" s="371" t="s">
        <v>385</v>
      </c>
      <c r="C76" s="361">
        <v>2</v>
      </c>
    </row>
    <row r="77" spans="1:9" s="4" customFormat="1" ht="13.35" customHeight="1">
      <c r="A77" s="302"/>
      <c r="B77" s="302"/>
      <c r="C77" s="302"/>
      <c r="I77" s="27"/>
    </row>
    <row r="78" spans="1:9" s="4" customFormat="1">
      <c r="A78" s="303"/>
      <c r="B78" s="303"/>
      <c r="C78" s="303"/>
    </row>
    <row r="79" spans="1:9" s="4" customFormat="1" ht="47.65" customHeight="1">
      <c r="A79" s="359" t="s">
        <v>386</v>
      </c>
      <c r="B79" s="371" t="s">
        <v>387</v>
      </c>
      <c r="C79" s="361">
        <v>3</v>
      </c>
    </row>
    <row r="80" spans="1:9" s="4" customFormat="1" ht="13.35" customHeight="1">
      <c r="A80" s="303"/>
      <c r="B80" s="303"/>
      <c r="C80" s="303"/>
    </row>
    <row r="81" spans="1:3" s="4" customFormat="1">
      <c r="A81" s="369" t="s">
        <v>388</v>
      </c>
      <c r="B81" s="371" t="s">
        <v>389</v>
      </c>
      <c r="C81" s="361">
        <v>5</v>
      </c>
    </row>
    <row r="82" spans="1:3" s="4" customFormat="1" ht="58.9" customHeight="1">
      <c r="A82" s="302"/>
      <c r="B82" s="302"/>
      <c r="C82" s="302"/>
    </row>
    <row r="83" spans="1:3" s="4" customFormat="1" ht="13.35" customHeight="1">
      <c r="A83" s="303"/>
      <c r="B83" s="303"/>
      <c r="C83" s="303"/>
    </row>
    <row r="84" spans="1:3" s="4" customFormat="1">
      <c r="A84" s="377" t="s">
        <v>390</v>
      </c>
      <c r="B84" s="371" t="s">
        <v>391</v>
      </c>
      <c r="C84" s="361">
        <v>6</v>
      </c>
    </row>
    <row r="85" spans="1:3" s="4" customFormat="1" ht="76.150000000000006" customHeight="1">
      <c r="A85" s="302"/>
      <c r="B85" s="302"/>
      <c r="C85" s="302"/>
    </row>
    <row r="86" spans="1:3" s="4" customFormat="1" ht="13.35" customHeight="1">
      <c r="A86" s="303"/>
      <c r="B86" s="303"/>
      <c r="C86" s="303"/>
    </row>
    <row r="87" spans="1:3" s="4" customFormat="1"/>
    <row r="88" spans="1:3" s="4" customFormat="1">
      <c r="A88" s="255" t="s">
        <v>21</v>
      </c>
      <c r="B88" s="256"/>
      <c r="C88" s="239"/>
    </row>
    <row r="89" spans="1:3" s="4" customFormat="1" ht="56.65" customHeight="1">
      <c r="A89" s="374" t="s">
        <v>392</v>
      </c>
      <c r="B89" s="371" t="s">
        <v>383</v>
      </c>
      <c r="C89" s="367">
        <v>1</v>
      </c>
    </row>
    <row r="90" spans="1:3" s="4" customFormat="1">
      <c r="A90" s="303"/>
      <c r="B90" s="303"/>
      <c r="C90" s="303"/>
    </row>
    <row r="91" spans="1:3" s="4" customFormat="1">
      <c r="A91" s="369" t="s">
        <v>393</v>
      </c>
      <c r="B91" s="371" t="s">
        <v>385</v>
      </c>
      <c r="C91" s="370">
        <v>2</v>
      </c>
    </row>
    <row r="92" spans="1:3" s="4" customFormat="1">
      <c r="A92" s="302"/>
      <c r="B92" s="302"/>
      <c r="C92" s="302"/>
    </row>
    <row r="93" spans="1:3" s="4" customFormat="1">
      <c r="A93" s="303"/>
      <c r="B93" s="303"/>
      <c r="C93" s="302"/>
    </row>
    <row r="94" spans="1:3" s="4" customFormat="1">
      <c r="A94" s="359" t="s">
        <v>394</v>
      </c>
      <c r="B94" s="371" t="s">
        <v>387</v>
      </c>
      <c r="C94" s="370">
        <v>3</v>
      </c>
    </row>
    <row r="95" spans="1:3" s="4" customFormat="1">
      <c r="A95" s="302"/>
      <c r="B95" s="302"/>
      <c r="C95" s="302"/>
    </row>
    <row r="96" spans="1:3" s="4" customFormat="1">
      <c r="A96" s="303"/>
      <c r="B96" s="303"/>
      <c r="C96" s="302"/>
    </row>
    <row r="97" spans="1:7" s="4" customFormat="1">
      <c r="A97" s="359" t="s">
        <v>395</v>
      </c>
      <c r="B97" s="371" t="s">
        <v>389</v>
      </c>
      <c r="C97" s="376">
        <v>4</v>
      </c>
    </row>
    <row r="98" spans="1:7" s="4" customFormat="1">
      <c r="A98" s="302"/>
      <c r="B98" s="302"/>
      <c r="C98" s="302"/>
    </row>
    <row r="99" spans="1:7" s="4" customFormat="1">
      <c r="A99" s="303"/>
      <c r="B99" s="303"/>
      <c r="C99" s="302"/>
    </row>
    <row r="100" spans="1:7" s="4" customFormat="1">
      <c r="A100" s="359" t="s">
        <v>396</v>
      </c>
      <c r="B100" s="371" t="s">
        <v>391</v>
      </c>
      <c r="C100" s="367">
        <v>5</v>
      </c>
    </row>
    <row r="101" spans="1:7" s="4" customFormat="1">
      <c r="A101" s="302"/>
      <c r="B101" s="302"/>
      <c r="C101" s="302"/>
    </row>
    <row r="102" spans="1:7" s="4" customFormat="1">
      <c r="A102" s="302"/>
      <c r="B102" s="302"/>
      <c r="C102" s="302"/>
    </row>
    <row r="103" spans="1:7" s="4" customFormat="1" ht="67.150000000000006" customHeight="1">
      <c r="A103" s="303"/>
      <c r="B103" s="303"/>
      <c r="C103" s="303"/>
    </row>
    <row r="104" spans="1:7" s="4" customFormat="1"/>
    <row r="105" spans="1:7" s="4" customFormat="1">
      <c r="A105" s="7" t="s">
        <v>397</v>
      </c>
      <c r="B105" s="7"/>
      <c r="C105" s="7"/>
      <c r="D105" s="7"/>
    </row>
    <row r="106" spans="1:7" s="4" customFormat="1" ht="13.5" customHeight="1" thickBot="1">
      <c r="A106" s="7" t="s">
        <v>398</v>
      </c>
      <c r="B106" s="7"/>
      <c r="C106" s="7"/>
      <c r="D106" s="7"/>
      <c r="F106" s="9" t="s">
        <v>399</v>
      </c>
      <c r="G106" s="8" t="s">
        <v>400</v>
      </c>
    </row>
    <row r="107" spans="1:7" s="4" customFormat="1">
      <c r="A107" s="9" t="s">
        <v>399</v>
      </c>
      <c r="B107" s="10" t="s">
        <v>401</v>
      </c>
      <c r="F107" s="240" t="s">
        <v>238</v>
      </c>
      <c r="G107" s="241" t="s">
        <v>402</v>
      </c>
    </row>
    <row r="108" spans="1:7" s="4" customFormat="1">
      <c r="A108" s="3" t="s">
        <v>204</v>
      </c>
      <c r="B108" s="3" t="s">
        <v>403</v>
      </c>
      <c r="F108" s="240" t="s">
        <v>404</v>
      </c>
      <c r="G108" s="241" t="s">
        <v>405</v>
      </c>
    </row>
    <row r="109" spans="1:7" s="4" customFormat="1">
      <c r="A109" s="3" t="s">
        <v>205</v>
      </c>
      <c r="B109" s="3" t="s">
        <v>406</v>
      </c>
      <c r="F109" s="240" t="s">
        <v>236</v>
      </c>
      <c r="G109" s="241" t="s">
        <v>407</v>
      </c>
    </row>
    <row r="110" spans="1:7" s="4" customFormat="1">
      <c r="A110" s="3" t="s">
        <v>206</v>
      </c>
      <c r="B110" s="3" t="s">
        <v>408</v>
      </c>
      <c r="F110" s="240" t="s">
        <v>409</v>
      </c>
      <c r="G110" s="241" t="s">
        <v>410</v>
      </c>
    </row>
    <row r="111" spans="1:7" s="4" customFormat="1">
      <c r="A111" s="3" t="s">
        <v>207</v>
      </c>
      <c r="B111" s="3" t="s">
        <v>411</v>
      </c>
      <c r="F111" s="240" t="s">
        <v>234</v>
      </c>
      <c r="G111" s="241" t="s">
        <v>412</v>
      </c>
    </row>
    <row r="112" spans="1:7" s="4" customFormat="1">
      <c r="A112" s="3" t="s">
        <v>208</v>
      </c>
      <c r="B112" s="3" t="s">
        <v>413</v>
      </c>
      <c r="F112" s="240" t="s">
        <v>233</v>
      </c>
      <c r="G112" s="241" t="s">
        <v>414</v>
      </c>
    </row>
    <row r="113" spans="1:7" s="4" customFormat="1">
      <c r="A113" s="3" t="s">
        <v>209</v>
      </c>
      <c r="B113" s="3" t="s">
        <v>415</v>
      </c>
      <c r="F113" s="240" t="s">
        <v>229</v>
      </c>
      <c r="G113" s="241" t="s">
        <v>416</v>
      </c>
    </row>
    <row r="114" spans="1:7" s="4" customFormat="1">
      <c r="A114" s="3">
        <v>-1</v>
      </c>
      <c r="B114" s="3" t="s">
        <v>417</v>
      </c>
      <c r="F114" s="240" t="s">
        <v>418</v>
      </c>
      <c r="G114" s="241" t="s">
        <v>419</v>
      </c>
    </row>
    <row r="115" spans="1:7" s="4" customFormat="1">
      <c r="A115" s="7"/>
      <c r="B115" s="7"/>
      <c r="C115" s="242"/>
      <c r="D115" s="242"/>
      <c r="F115" s="240" t="s">
        <v>231</v>
      </c>
      <c r="G115" s="241" t="s">
        <v>420</v>
      </c>
    </row>
    <row r="116" spans="1:7" s="4" customFormat="1">
      <c r="F116" s="240" t="s">
        <v>421</v>
      </c>
      <c r="G116" s="241" t="s">
        <v>422</v>
      </c>
    </row>
    <row r="117" spans="1:7" s="4" customFormat="1">
      <c r="F117" s="240" t="s">
        <v>232</v>
      </c>
      <c r="G117" s="241" t="s">
        <v>423</v>
      </c>
    </row>
    <row r="118" spans="1:7" s="4" customFormat="1">
      <c r="F118" s="240" t="s">
        <v>208</v>
      </c>
      <c r="G118" s="241" t="s">
        <v>223</v>
      </c>
    </row>
    <row r="119" spans="1:7" s="4" customFormat="1">
      <c r="F119" s="240">
        <v>-1</v>
      </c>
      <c r="G119" s="241" t="s">
        <v>424</v>
      </c>
    </row>
    <row r="120" spans="1:7" s="4" customFormat="1" ht="13.5" customHeight="1" thickBot="1">
      <c r="A120" s="189" t="s">
        <v>155</v>
      </c>
    </row>
    <row r="121" spans="1:7" s="4" customFormat="1">
      <c r="A121" s="243" t="s">
        <v>425</v>
      </c>
      <c r="B121" s="244" t="s">
        <v>426</v>
      </c>
      <c r="C121" s="244" t="s">
        <v>427</v>
      </c>
      <c r="D121" s="244" t="s">
        <v>428</v>
      </c>
      <c r="E121" s="244" t="s">
        <v>429</v>
      </c>
      <c r="F121" s="245" t="s">
        <v>430</v>
      </c>
      <c r="G121" s="245" t="s">
        <v>431</v>
      </c>
    </row>
    <row r="122" spans="1:7" s="4" customFormat="1">
      <c r="A122" s="246" t="s">
        <v>163</v>
      </c>
      <c r="B122" s="11" t="s">
        <v>432</v>
      </c>
      <c r="C122" s="11" t="s">
        <v>433</v>
      </c>
      <c r="D122" s="3" t="s">
        <v>434</v>
      </c>
      <c r="E122" s="3" t="s">
        <v>435</v>
      </c>
      <c r="F122" s="1" t="s">
        <v>436</v>
      </c>
      <c r="G122" s="241" t="s">
        <v>437</v>
      </c>
    </row>
    <row r="123" spans="1:7" s="4" customFormat="1">
      <c r="A123" s="246" t="s">
        <v>167</v>
      </c>
      <c r="B123" s="11" t="s">
        <v>438</v>
      </c>
      <c r="C123" s="11" t="s">
        <v>439</v>
      </c>
      <c r="D123" s="3" t="s">
        <v>434</v>
      </c>
      <c r="E123" s="3" t="s">
        <v>435</v>
      </c>
      <c r="F123" s="12" t="s">
        <v>440</v>
      </c>
      <c r="G123" s="241" t="s">
        <v>441</v>
      </c>
    </row>
    <row r="124" spans="1:7" s="4" customFormat="1">
      <c r="A124" s="246" t="s">
        <v>171</v>
      </c>
      <c r="B124" s="11" t="s">
        <v>442</v>
      </c>
      <c r="C124" s="11" t="s">
        <v>443</v>
      </c>
      <c r="D124" s="3" t="s">
        <v>444</v>
      </c>
      <c r="E124" s="3" t="s">
        <v>435</v>
      </c>
      <c r="F124" s="12" t="s">
        <v>445</v>
      </c>
      <c r="G124" s="241" t="s">
        <v>446</v>
      </c>
    </row>
    <row r="125" spans="1:7" s="4" customFormat="1">
      <c r="A125" s="246" t="s">
        <v>169</v>
      </c>
      <c r="B125" s="11" t="s">
        <v>447</v>
      </c>
      <c r="C125" s="11" t="s">
        <v>448</v>
      </c>
      <c r="D125" s="3" t="s">
        <v>449</v>
      </c>
      <c r="E125" s="13" t="s">
        <v>450</v>
      </c>
      <c r="F125" s="1" t="s">
        <v>183</v>
      </c>
      <c r="G125" s="241" t="s">
        <v>451</v>
      </c>
    </row>
    <row r="126" spans="1:7" s="4" customFormat="1">
      <c r="A126" s="246" t="s">
        <v>165</v>
      </c>
      <c r="B126" s="11" t="s">
        <v>452</v>
      </c>
      <c r="C126" s="11" t="s">
        <v>453</v>
      </c>
      <c r="D126" s="3" t="s">
        <v>454</v>
      </c>
      <c r="E126" s="13" t="s">
        <v>455</v>
      </c>
      <c r="F126" s="1" t="s">
        <v>456</v>
      </c>
      <c r="G126" s="241" t="s">
        <v>457</v>
      </c>
    </row>
    <row r="127" spans="1:7" s="4" customFormat="1">
      <c r="A127" s="246" t="s">
        <v>161</v>
      </c>
      <c r="B127" s="11" t="s">
        <v>458</v>
      </c>
      <c r="C127" s="11" t="s">
        <v>459</v>
      </c>
      <c r="D127" s="3" t="s">
        <v>460</v>
      </c>
      <c r="E127" s="13" t="s">
        <v>461</v>
      </c>
      <c r="F127" s="1" t="s">
        <v>462</v>
      </c>
      <c r="G127" s="241" t="s">
        <v>463</v>
      </c>
    </row>
    <row r="128" spans="1:7" s="4" customFormat="1" ht="13.5" customHeight="1" thickBot="1">
      <c r="A128" s="247" t="s">
        <v>156</v>
      </c>
      <c r="B128" s="14" t="s">
        <v>464</v>
      </c>
      <c r="C128" s="14" t="s">
        <v>465</v>
      </c>
      <c r="D128" s="15" t="s">
        <v>466</v>
      </c>
      <c r="E128" s="15" t="s">
        <v>467</v>
      </c>
      <c r="F128" s="2" t="s">
        <v>468</v>
      </c>
      <c r="G128" s="241" t="s">
        <v>469</v>
      </c>
    </row>
    <row r="129" spans="1:10" s="4" customFormat="1"/>
    <row r="130" spans="1:10" s="4" customFormat="1"/>
    <row r="131" spans="1:10" s="4" customFormat="1">
      <c r="A131" s="363" t="s">
        <v>470</v>
      </c>
      <c r="B131" s="364"/>
      <c r="C131" s="364"/>
      <c r="D131" s="364"/>
      <c r="E131" s="383" t="s">
        <v>471</v>
      </c>
      <c r="F131" s="364"/>
      <c r="G131" s="364"/>
      <c r="H131" s="364"/>
      <c r="I131" s="364"/>
      <c r="J131" s="364"/>
    </row>
    <row r="132" spans="1:10" s="4" customFormat="1">
      <c r="B132" s="188"/>
      <c r="C132" s="188"/>
    </row>
    <row r="133" spans="1:10" s="4" customFormat="1"/>
    <row r="134" spans="1:10" s="4" customFormat="1"/>
    <row r="135" spans="1:10" s="4" customFormat="1"/>
    <row r="136" spans="1:10" s="4" customFormat="1"/>
    <row r="137" spans="1:10" s="4" customFormat="1"/>
    <row r="138" spans="1:10" s="4" customFormat="1"/>
    <row r="139" spans="1:10" s="4" customFormat="1"/>
    <row r="140" spans="1:10" s="4" customFormat="1"/>
    <row r="141" spans="1:10" s="4" customFormat="1"/>
    <row r="142" spans="1:10" s="4" customFormat="1"/>
    <row r="143" spans="1:10" s="4" customFormat="1"/>
    <row r="144" spans="1:10" s="4" customFormat="1"/>
    <row r="145" s="4" customFormat="1"/>
    <row r="146" s="4" customFormat="1"/>
    <row r="147" s="4" customFormat="1"/>
    <row r="148" s="4" customFormat="1"/>
    <row r="149" s="4" customFormat="1"/>
    <row r="150" s="4" customFormat="1"/>
    <row r="151" s="4" customFormat="1"/>
    <row r="152" s="4" customFormat="1"/>
    <row r="153" s="4" customFormat="1"/>
    <row r="154" s="4" customFormat="1"/>
    <row r="155" s="4" customFormat="1"/>
    <row r="156" s="4" customFormat="1"/>
    <row r="157" s="4" customFormat="1"/>
    <row r="158" s="4" customFormat="1"/>
    <row r="159" s="4" customFormat="1"/>
    <row r="160" s="4" customFormat="1"/>
    <row r="161" spans="2:7" s="4" customFormat="1"/>
    <row r="162" spans="2:7" s="4" customFormat="1"/>
    <row r="163" spans="2:7" s="4" customFormat="1"/>
    <row r="164" spans="2:7" s="4" customFormat="1" ht="15" customHeight="1">
      <c r="B164" s="382" t="s">
        <v>472</v>
      </c>
      <c r="C164" s="364"/>
    </row>
    <row r="165" spans="2:7" s="4" customFormat="1"/>
    <row r="166" spans="2:7" s="4" customFormat="1"/>
    <row r="167" spans="2:7" s="4" customFormat="1"/>
    <row r="168" spans="2:7" s="4" customFormat="1"/>
    <row r="169" spans="2:7" s="4" customFormat="1"/>
    <row r="170" spans="2:7" s="4" customFormat="1"/>
    <row r="171" spans="2:7" s="4" customFormat="1">
      <c r="E171" s="16" t="s">
        <v>473</v>
      </c>
      <c r="F171" s="17" t="s">
        <v>474</v>
      </c>
      <c r="G171" s="18" t="s">
        <v>475</v>
      </c>
    </row>
    <row r="172" spans="2:7" s="4" customFormat="1">
      <c r="E172" s="4">
        <v>0</v>
      </c>
      <c r="F172" s="4">
        <v>35</v>
      </c>
      <c r="G172" s="4">
        <v>3</v>
      </c>
    </row>
    <row r="173" spans="2:7" s="4" customFormat="1">
      <c r="E173" s="4">
        <v>10</v>
      </c>
      <c r="F173" s="4">
        <v>32</v>
      </c>
      <c r="G173" s="4">
        <v>4</v>
      </c>
    </row>
    <row r="174" spans="2:7" s="4" customFormat="1">
      <c r="E174" s="4">
        <v>20</v>
      </c>
      <c r="F174" s="4">
        <v>29</v>
      </c>
      <c r="G174" s="4">
        <v>5</v>
      </c>
    </row>
    <row r="175" spans="2:7" s="4" customFormat="1">
      <c r="E175" s="4">
        <v>30</v>
      </c>
      <c r="F175" s="4">
        <v>26</v>
      </c>
      <c r="G175" s="4">
        <v>6</v>
      </c>
    </row>
    <row r="176" spans="2:7" s="4" customFormat="1">
      <c r="E176" s="4">
        <v>40</v>
      </c>
      <c r="F176" s="4">
        <v>23</v>
      </c>
      <c r="G176" s="4">
        <v>8</v>
      </c>
    </row>
    <row r="177" spans="5:7" s="4" customFormat="1">
      <c r="E177" s="4">
        <v>50</v>
      </c>
      <c r="F177" s="4">
        <v>20</v>
      </c>
      <c r="G177" s="4">
        <v>10</v>
      </c>
    </row>
    <row r="178" spans="5:7" s="4" customFormat="1">
      <c r="E178" s="4">
        <v>60</v>
      </c>
      <c r="F178" s="4">
        <v>17</v>
      </c>
      <c r="G178" s="4">
        <v>12</v>
      </c>
    </row>
    <row r="179" spans="5:7" s="4" customFormat="1">
      <c r="E179" s="4">
        <v>70</v>
      </c>
      <c r="F179" s="4">
        <v>14</v>
      </c>
      <c r="G179" s="4">
        <v>14</v>
      </c>
    </row>
    <row r="180" spans="5:7" s="4" customFormat="1">
      <c r="E180" s="4">
        <v>80</v>
      </c>
      <c r="F180" s="4">
        <v>11</v>
      </c>
      <c r="G180" s="4">
        <v>16</v>
      </c>
    </row>
    <row r="181" spans="5:7" s="4" customFormat="1">
      <c r="E181" s="4">
        <v>90</v>
      </c>
      <c r="F181" s="4">
        <v>8</v>
      </c>
      <c r="G181" s="4">
        <v>18</v>
      </c>
    </row>
    <row r="182" spans="5:7" s="4" customFormat="1">
      <c r="E182" s="4">
        <v>100</v>
      </c>
      <c r="F182" s="4">
        <v>5</v>
      </c>
      <c r="G182" s="4">
        <v>20</v>
      </c>
    </row>
    <row r="183" spans="5:7" s="4" customFormat="1"/>
    <row r="184" spans="5:7" s="4" customFormat="1"/>
    <row r="185" spans="5:7" s="4" customFormat="1"/>
    <row r="186" spans="5:7" s="4" customFormat="1"/>
    <row r="187" spans="5:7" s="4" customFormat="1"/>
    <row r="188" spans="5:7" s="4" customFormat="1"/>
    <row r="189" spans="5:7" s="4" customFormat="1"/>
    <row r="190" spans="5:7" s="4" customFormat="1"/>
    <row r="191" spans="5:7" s="4" customFormat="1"/>
    <row r="192" spans="5:7" s="4" customFormat="1"/>
    <row r="193" s="4" customFormat="1"/>
    <row r="194" s="4" customFormat="1"/>
    <row r="195" s="4" customFormat="1"/>
    <row r="196" s="4" customFormat="1"/>
    <row r="197" s="4" customFormat="1"/>
    <row r="198" s="4" customFormat="1"/>
    <row r="199" s="4" customFormat="1"/>
    <row r="200" s="4" customFormat="1"/>
  </sheetData>
  <mergeCells count="46">
    <mergeCell ref="B164:C164"/>
    <mergeCell ref="B100:B103"/>
    <mergeCell ref="E131:J131"/>
    <mergeCell ref="C84:C86"/>
    <mergeCell ref="Q29:Q37"/>
    <mergeCell ref="K1:O1"/>
    <mergeCell ref="K21:K28"/>
    <mergeCell ref="B76:B78"/>
    <mergeCell ref="B94:B96"/>
    <mergeCell ref="A66:B66"/>
    <mergeCell ref="A89:A90"/>
    <mergeCell ref="G1:I1"/>
    <mergeCell ref="B91:B93"/>
    <mergeCell ref="B81:B83"/>
    <mergeCell ref="A84:A86"/>
    <mergeCell ref="A94:A96"/>
    <mergeCell ref="K29:K31"/>
    <mergeCell ref="C94:C96"/>
    <mergeCell ref="B89:B90"/>
    <mergeCell ref="B79:B80"/>
    <mergeCell ref="A60:B61"/>
    <mergeCell ref="A131:D131"/>
    <mergeCell ref="A51:B51"/>
    <mergeCell ref="C89:C90"/>
    <mergeCell ref="A74:C74"/>
    <mergeCell ref="A91:A93"/>
    <mergeCell ref="A76:A78"/>
    <mergeCell ref="C76:C78"/>
    <mergeCell ref="C91:C93"/>
    <mergeCell ref="A81:A83"/>
    <mergeCell ref="C81:C83"/>
    <mergeCell ref="B84:B86"/>
    <mergeCell ref="A97:A99"/>
    <mergeCell ref="C100:C103"/>
    <mergeCell ref="B97:B99"/>
    <mergeCell ref="C97:C99"/>
    <mergeCell ref="A100:A103"/>
    <mergeCell ref="A79:A80"/>
    <mergeCell ref="K32:K33"/>
    <mergeCell ref="C79:C80"/>
    <mergeCell ref="Q25:Q28"/>
    <mergeCell ref="Q3:Q17"/>
    <mergeCell ref="K3:K14"/>
    <mergeCell ref="K15:K20"/>
    <mergeCell ref="Q38:Q61"/>
    <mergeCell ref="Q18:Q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ventana</vt:lpstr>
      <vt:lpstr>BD</vt:lpstr>
      <vt:lpstr>RMR</vt:lpstr>
      <vt:lpstr>Leyenda</vt:lpstr>
      <vt:lpstr>ventana!Área_de_impresión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Monje</dc:creator>
  <cp:lastModifiedBy>DrN</cp:lastModifiedBy>
  <dcterms:created xsi:type="dcterms:W3CDTF">2003-08-14T21:39:27Z</dcterms:created>
  <dcterms:modified xsi:type="dcterms:W3CDTF">2026-08-19T02:21:21Z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20b37f86820942c3a81fcde3dd25e5fc</vt:lpwstr>
  </property>
  <property fmtid="{D5CDD505-2E9C-101B-9397-08002B2CF9AE}" pid="3" name="ContentTypeId">
    <vt:lpwstr>0x0101008AA63F33A590594C925A5D14EFB537E1</vt:lpwstr>
  </property>
  <property fmtid="{D5CDD505-2E9C-101B-9397-08002B2CF9AE}" pid="4" name="MSIP_Label_9fbb04e3-58ac-40d2-9af1-cf5f9cb426de_Enabled">
    <vt:lpwstr>true</vt:lpwstr>
  </property>
  <property fmtid="{D5CDD505-2E9C-101B-9397-08002B2CF9AE}" pid="5" name="MSIP_Label_9fbb04e3-58ac-40d2-9af1-cf5f9cb426de_SetDate">
    <vt:lpwstr>2026-04-23T16:51:29Z</vt:lpwstr>
  </property>
  <property fmtid="{D5CDD505-2E9C-101B-9397-08002B2CF9AE}" pid="6" name="MSIP_Label_9fbb04e3-58ac-40d2-9af1-cf5f9cb426de_Method">
    <vt:lpwstr>Standard</vt:lpwstr>
  </property>
  <property fmtid="{D5CDD505-2E9C-101B-9397-08002B2CF9AE}" pid="7" name="MSIP_Label_9fbb04e3-58ac-40d2-9af1-cf5f9cb426de_Name">
    <vt:lpwstr>Público</vt:lpwstr>
  </property>
  <property fmtid="{D5CDD505-2E9C-101B-9397-08002B2CF9AE}" pid="8" name="MSIP_Label_9fbb04e3-58ac-40d2-9af1-cf5f9cb426de_SiteId">
    <vt:lpwstr>a7a67c6c-4309-4e16-99e3-f8f1b9e8079c</vt:lpwstr>
  </property>
  <property fmtid="{D5CDD505-2E9C-101B-9397-08002B2CF9AE}" pid="9" name="MSIP_Label_9fbb04e3-58ac-40d2-9af1-cf5f9cb426de_ActionId">
    <vt:lpwstr>a86e1ec3-8642-4c6b-957a-cd09a13bf3d7</vt:lpwstr>
  </property>
  <property fmtid="{D5CDD505-2E9C-101B-9397-08002B2CF9AE}" pid="10" name="MSIP_Label_9fbb04e3-58ac-40d2-9af1-cf5f9cb426de_ContentBits">
    <vt:lpwstr>0</vt:lpwstr>
  </property>
  <property fmtid="{D5CDD505-2E9C-101B-9397-08002B2CF9AE}" pid="11" name="MSIP_Label_9fbb04e3-58ac-40d2-9af1-cf5f9cb426de_Tag">
    <vt:lpwstr>10, 3, 0, 1</vt:lpwstr>
  </property>
</Properties>
</file>